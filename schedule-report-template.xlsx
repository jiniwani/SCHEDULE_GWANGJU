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\Desktop\검사부 스켸줄러\"/>
    </mc:Choice>
  </mc:AlternateContent>
  <xr:revisionPtr revIDLastSave="0" documentId="13_ncr:1_{8A7F4975-8137-4AFE-B765-A5F551AFD9A0}" xr6:coauthVersionLast="47" xr6:coauthVersionMax="47" xr10:uidLastSave="{00000000-0000-0000-0000-000000000000}"/>
  <bookViews>
    <workbookView xWindow="-120" yWindow="-120" windowWidth="38640" windowHeight="21240" firstSheet="1" activeTab="1" xr2:uid="{00000000-000D-0000-FFFF-FFFF00000000}"/>
  </bookViews>
  <sheets>
    <sheet name="6월 취합 (야간근무+연장)" sheetId="1" state="hidden" r:id="rId1"/>
    <sheet name="12월 취합 (야간근무+연장)" sheetId="2" r:id="rId2"/>
  </sheets>
  <externalReferences>
    <externalReference r:id="rId3"/>
    <externalReference r:id="rId4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'12월 취합 (야간근무+연장)'!$A$7:$BQ$35</definedName>
    <definedName name="_xlnm._FilterDatabase" localSheetId="0" hidden="1">'6월 취합 (야간근무+연장)'!$A$7:$BQ$37</definedName>
    <definedName name="Alb_IIX" localSheetId="1">#REF!,#REF!</definedName>
    <definedName name="Alb_IIX" localSheetId="0">#REF!,#REF!</definedName>
    <definedName name="Alb_IIX">#REF!,#REF!</definedName>
    <definedName name="Alb_IX" localSheetId="1">#REF!,#REF!</definedName>
    <definedName name="Alb_IX" localSheetId="0">#REF!,#REF!</definedName>
    <definedName name="Alb_IX">#REF!,#REF!</definedName>
    <definedName name="ALP_IIX" localSheetId="1">#REF!,#REF!</definedName>
    <definedName name="ALP_IIX" localSheetId="0">#REF!,#REF!</definedName>
    <definedName name="ALP_IIX">#REF!,#REF!</definedName>
    <definedName name="ALP_IX" localSheetId="1">#REF!,#REF!</definedName>
    <definedName name="ALP_IX" localSheetId="0">#REF!,#REF!</definedName>
    <definedName name="ALP_IX">#REF!,#REF!</definedName>
    <definedName name="AMY_IIX" localSheetId="1">#REF!,#REF!</definedName>
    <definedName name="AMY_IIX" localSheetId="0">#REF!,#REF!</definedName>
    <definedName name="AMY_IIX">#REF!,#REF!</definedName>
    <definedName name="AMY_IX" localSheetId="1">#REF!,#REF!</definedName>
    <definedName name="AMY_IX" localSheetId="0">#REF!,#REF!</definedName>
    <definedName name="AMY_IX">#REF!,#REF!</definedName>
    <definedName name="B_L_IIX" localSheetId="1">#REF!,#REF!</definedName>
    <definedName name="B_L_IIX" localSheetId="0">#REF!,#REF!</definedName>
    <definedName name="B_L_IIX">#REF!,#REF!</definedName>
    <definedName name="B_L_IX" localSheetId="1">#REF!,#REF!</definedName>
    <definedName name="B_L_IX" localSheetId="0">#REF!,#REF!</definedName>
    <definedName name="B_L_IX">#REF!,#REF!</definedName>
    <definedName name="bil" localSheetId="1">#REF!,#REF!</definedName>
    <definedName name="bil" localSheetId="0">#REF!,#REF!</definedName>
    <definedName name="bil">#REF!,#REF!</definedName>
    <definedName name="BUN_IIX" localSheetId="1">#REF!,#REF!</definedName>
    <definedName name="BUN_IIX" localSheetId="0">#REF!,#REF!</definedName>
    <definedName name="BUN_IIX">#REF!,#REF!</definedName>
    <definedName name="BUN_IX" localSheetId="1">#REF!,#REF!</definedName>
    <definedName name="BUN_IX" localSheetId="0">#REF!,#REF!</definedName>
    <definedName name="BUN_IX">#REF!,#REF!</definedName>
    <definedName name="CA_IIX" localSheetId="1">#REF!,#REF!</definedName>
    <definedName name="CA_IIX" localSheetId="0">#REF!,#REF!</definedName>
    <definedName name="CA_IIX">#REF!,#REF!</definedName>
    <definedName name="CA_IX" localSheetId="1">#REF!,#REF!</definedName>
    <definedName name="CA_IX" localSheetId="0">#REF!,#REF!</definedName>
    <definedName name="CA_IX">#REF!,#REF!</definedName>
    <definedName name="CHE_IIX" localSheetId="1">#REF!,#REF!</definedName>
    <definedName name="CHE_IIX" localSheetId="0">#REF!,#REF!</definedName>
    <definedName name="CHE_IIX">#REF!,#REF!</definedName>
    <definedName name="CHE_IX" localSheetId="1">#REF!,#REF!</definedName>
    <definedName name="CHE_IX" localSheetId="0">#REF!,#REF!</definedName>
    <definedName name="CHE_IX">#REF!,#REF!</definedName>
    <definedName name="CHOL_IIX" localSheetId="1">#REF!,#REF!</definedName>
    <definedName name="CHOL_IIX" localSheetId="0">#REF!,#REF!</definedName>
    <definedName name="CHOL_IIX">#REF!,#REF!</definedName>
    <definedName name="CHOL_IX" localSheetId="1">#REF!,#REF!</definedName>
    <definedName name="CHOL_IX" localSheetId="0">#REF!,#REF!</definedName>
    <definedName name="CHOL_IX">#REF!,#REF!</definedName>
    <definedName name="CPK_IIX" localSheetId="1">#REF!,#REF!</definedName>
    <definedName name="CPK_IIX" localSheetId="0">#REF!,#REF!</definedName>
    <definedName name="CPK_IIX">#REF!,#REF!</definedName>
    <definedName name="CPK_IX" localSheetId="1">#REF!,#REF!</definedName>
    <definedName name="CPK_IX" localSheetId="0">#REF!,#REF!</definedName>
    <definedName name="CPK_IX">#REF!,#REF!</definedName>
    <definedName name="CREA_IIX" localSheetId="1">#REF!,#REF!</definedName>
    <definedName name="CREA_IIX" localSheetId="0">#REF!,#REF!</definedName>
    <definedName name="CREA_IIX">#REF!,#REF!</definedName>
    <definedName name="CREA_IX" localSheetId="1">#REF!,#REF!</definedName>
    <definedName name="CREA_IX" localSheetId="0">#REF!,#REF!</definedName>
    <definedName name="CREA_IX">#REF!,#REF!</definedName>
    <definedName name="DB_IIX" localSheetId="1">#REF!,#REF!</definedName>
    <definedName name="DB_IIX" localSheetId="0">#REF!,#REF!</definedName>
    <definedName name="DB_IIX">#REF!,#REF!</definedName>
    <definedName name="DB_IX" localSheetId="1">#REF!,#REF!</definedName>
    <definedName name="DB_IX" localSheetId="0">#REF!,#REF!</definedName>
    <definedName name="DB_IX">#REF!,#REF!</definedName>
    <definedName name="GGT_IIX" localSheetId="1">#REF!,#REF!</definedName>
    <definedName name="GGT_IIX" localSheetId="0">#REF!,#REF!</definedName>
    <definedName name="GGT_IIX">#REF!,#REF!</definedName>
    <definedName name="GGT_IX" localSheetId="1">#REF!,#REF!</definedName>
    <definedName name="GGT_IX" localSheetId="0">#REF!,#REF!</definedName>
    <definedName name="GGT_IX">#REF!,#REF!</definedName>
    <definedName name="GLU_IIX" localSheetId="1">#REF!,#REF!</definedName>
    <definedName name="GLU_IIX" localSheetId="0">#REF!,#REF!</definedName>
    <definedName name="GLU_IIX">#REF!,#REF!</definedName>
    <definedName name="GLU_IX" localSheetId="1">#REF!,#REF!</definedName>
    <definedName name="GLU_IX" localSheetId="0">#REF!,#REF!</definedName>
    <definedName name="GLU_IX">#REF!,#REF!</definedName>
    <definedName name="HDL_IIX" localSheetId="1">#REF!,#REF!</definedName>
    <definedName name="HDL_IIX" localSheetId="0">#REF!,#REF!</definedName>
    <definedName name="HDL_IIX">#REF!,#REF!</definedName>
    <definedName name="HDL_IX" localSheetId="1">#REF!,#REF!</definedName>
    <definedName name="HDL_IX" localSheetId="0">#REF!,#REF!</definedName>
    <definedName name="HDL_IX">#REF!,#REF!</definedName>
    <definedName name="LDH_IIX" localSheetId="1">#REF!,#REF!</definedName>
    <definedName name="LDH_IIX" localSheetId="0">#REF!,#REF!</definedName>
    <definedName name="LDH_IIX">#REF!,#REF!</definedName>
    <definedName name="LDH_IX" localSheetId="1">#REF!,#REF!</definedName>
    <definedName name="LDH_IX" localSheetId="0">#REF!,#REF!</definedName>
    <definedName name="LDH_IX">#REF!,#REF!</definedName>
    <definedName name="LHD_IX" localSheetId="1">#REF!,#REF!</definedName>
    <definedName name="LHD_IX" localSheetId="0">#REF!,#REF!</definedName>
    <definedName name="LHD_IX">#REF!,#REF!</definedName>
    <definedName name="OT_IIX" localSheetId="1">#REF!,#REF!</definedName>
    <definedName name="OT_IIX" localSheetId="0">#REF!,#REF!</definedName>
    <definedName name="OT_IIX">#REF!,#REF!</definedName>
    <definedName name="OT_IX" localSheetId="1">#REF!,#REF!</definedName>
    <definedName name="OT_IX" localSheetId="0">#REF!,#REF!</definedName>
    <definedName name="OT_IX">#REF!,#REF!</definedName>
    <definedName name="P_IIX" localSheetId="1">#REF!,#REF!</definedName>
    <definedName name="P_IIX" localSheetId="0">#REF!,#REF!</definedName>
    <definedName name="P_IIX">#REF!,#REF!</definedName>
    <definedName name="P_IX" localSheetId="1">#REF!,#REF!</definedName>
    <definedName name="P_IX" localSheetId="0">#REF!,#REF!</definedName>
    <definedName name="P_IX">#REF!,#REF!</definedName>
    <definedName name="P_L_IIX" localSheetId="1">#REF!,#REF!,#REF!</definedName>
    <definedName name="P_L_IIX" localSheetId="0">#REF!,#REF!,#REF!</definedName>
    <definedName name="P_L_IIX">#REF!,#REF!,#REF!</definedName>
    <definedName name="P_L_IX" localSheetId="1">#REF!,#REF!</definedName>
    <definedName name="P_L_IX" localSheetId="0">#REF!,#REF!</definedName>
    <definedName name="P_L_IX">#REF!,#REF!</definedName>
    <definedName name="_xlnm.Print_Area" localSheetId="1">'12월 취합 (야간근무+연장)'!$A$1:$BC$35</definedName>
    <definedName name="_xlnm.Print_Area" localSheetId="0">'6월 취합 (야간근무+연장)'!$A$1:$BC$37</definedName>
    <definedName name="PT_IIX" localSheetId="1">#REF!,#REF!</definedName>
    <definedName name="PT_IIX" localSheetId="0">#REF!,#REF!</definedName>
    <definedName name="PT_IIX">#REF!,#REF!</definedName>
    <definedName name="PT_IX" localSheetId="1">#REF!,#REF!</definedName>
    <definedName name="PT_IX" localSheetId="0">#REF!,#REF!</definedName>
    <definedName name="PT_IX">#REF!,#REF!</definedName>
    <definedName name="TB_IIX" localSheetId="1">#REF!,#REF!</definedName>
    <definedName name="TB_IIX" localSheetId="0">#REF!,#REF!</definedName>
    <definedName name="TB_IIX">#REF!,#REF!</definedName>
    <definedName name="TB_IX" localSheetId="1">#REF!,#REF!</definedName>
    <definedName name="TB_IX" localSheetId="0">#REF!,#REF!</definedName>
    <definedName name="TB_IX">#REF!,#REF!</definedName>
    <definedName name="TG_IIX" localSheetId="1">#REF!,#REF!</definedName>
    <definedName name="TG_IIX" localSheetId="0">#REF!,#REF!</definedName>
    <definedName name="TG_IIX">#REF!,#REF!</definedName>
    <definedName name="TG_IX" localSheetId="1">#REF!,#REF!</definedName>
    <definedName name="TG_IX" localSheetId="0">#REF!,#REF!</definedName>
    <definedName name="TG_IX">#REF!,#REF!</definedName>
    <definedName name="TP_IIX">[1]HBA1C!$A$10:$A$35,[1]HBA1C!$S$10:$S$35</definedName>
    <definedName name="TP_IX">[1]HBA1C!$A$10:$A$35,[1]HBA1C!$G$10:$G$35</definedName>
    <definedName name="UA_IIX" localSheetId="1">#REF!,#REF!</definedName>
    <definedName name="UA_IIX" localSheetId="0">#REF!,#REF!</definedName>
    <definedName name="UA_IIX">#REF!,#REF!</definedName>
    <definedName name="UA_IX" localSheetId="1">#REF!,#REF!</definedName>
    <definedName name="UA_IX" localSheetId="0">#REF!,#REF!</definedName>
    <definedName name="UA_IX">#REF!,#REF!</definedName>
    <definedName name="예스폼" localSheetId="1">'[2]042. 인사 이동신청서'!#REF!</definedName>
    <definedName name="예스폼" localSheetId="0">'[2]042. 인사 이동신청서'!#REF!</definedName>
    <definedName name="예스폼">'[2]042. 인사 이동신청서'!#REF!</definedName>
    <definedName name="일일Monitrol_IIX">[1]HBA1C!$A$10:$A$35,[1]HBA1C!$S$10:$S$35</definedName>
    <definedName name="일일Monitrol_IX">[1]HBA1C!$A$10:$A$35,[1]HBA1C!$G$10:$G$35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8" i="2" l="1"/>
  <c r="AN8" i="2" l="1"/>
  <c r="AM14" i="2" l="1"/>
  <c r="AN14" i="2"/>
  <c r="AO14" i="2"/>
  <c r="AS14" i="2" s="1"/>
  <c r="AP14" i="2"/>
  <c r="AQ14" i="2"/>
  <c r="AU14" i="2"/>
  <c r="AV14" i="2"/>
  <c r="AW14" i="2"/>
  <c r="AX14" i="2"/>
  <c r="AY14" i="2"/>
  <c r="AZ14" i="2"/>
  <c r="AM15" i="2"/>
  <c r="AN15" i="2"/>
  <c r="AO15" i="2"/>
  <c r="AS15" i="2" s="1"/>
  <c r="AP15" i="2"/>
  <c r="AQ15" i="2"/>
  <c r="AU15" i="2"/>
  <c r="AV15" i="2"/>
  <c r="AW15" i="2"/>
  <c r="AX15" i="2"/>
  <c r="AY15" i="2"/>
  <c r="AZ15" i="2"/>
  <c r="AM16" i="2"/>
  <c r="AN16" i="2"/>
  <c r="AO16" i="2"/>
  <c r="AS16" i="2" s="1"/>
  <c r="AP16" i="2"/>
  <c r="AQ16" i="2"/>
  <c r="AU16" i="2"/>
  <c r="AV16" i="2"/>
  <c r="AW16" i="2"/>
  <c r="AX16" i="2"/>
  <c r="AY16" i="2"/>
  <c r="AZ16" i="2"/>
  <c r="AM17" i="2"/>
  <c r="AN17" i="2"/>
  <c r="AO17" i="2"/>
  <c r="AS17" i="2" s="1"/>
  <c r="AP17" i="2"/>
  <c r="AQ17" i="2"/>
  <c r="AU17" i="2"/>
  <c r="AV17" i="2"/>
  <c r="AW17" i="2"/>
  <c r="AX17" i="2"/>
  <c r="AY17" i="2"/>
  <c r="AZ17" i="2"/>
  <c r="AM18" i="2"/>
  <c r="AN18" i="2"/>
  <c r="AO18" i="2"/>
  <c r="AS18" i="2" s="1"/>
  <c r="AP18" i="2"/>
  <c r="AQ18" i="2"/>
  <c r="AU18" i="2"/>
  <c r="AV18" i="2"/>
  <c r="AW18" i="2"/>
  <c r="AX18" i="2"/>
  <c r="AY18" i="2"/>
  <c r="AZ18" i="2"/>
  <c r="AM19" i="2"/>
  <c r="AN19" i="2"/>
  <c r="AO19" i="2"/>
  <c r="AS19" i="2" s="1"/>
  <c r="AP19" i="2"/>
  <c r="AQ19" i="2"/>
  <c r="AU19" i="2"/>
  <c r="AV19" i="2"/>
  <c r="AW19" i="2"/>
  <c r="AX19" i="2"/>
  <c r="AY19" i="2"/>
  <c r="AZ19" i="2"/>
  <c r="AM20" i="2"/>
  <c r="AN20" i="2"/>
  <c r="AO20" i="2"/>
  <c r="AS20" i="2" s="1"/>
  <c r="AP20" i="2"/>
  <c r="AQ20" i="2"/>
  <c r="AU20" i="2"/>
  <c r="AV20" i="2"/>
  <c r="AW20" i="2"/>
  <c r="AX20" i="2"/>
  <c r="AY20" i="2"/>
  <c r="AZ20" i="2"/>
  <c r="AM21" i="2"/>
  <c r="AN21" i="2"/>
  <c r="AO21" i="2"/>
  <c r="AS21" i="2" s="1"/>
  <c r="AP21" i="2"/>
  <c r="AQ21" i="2"/>
  <c r="AU21" i="2"/>
  <c r="AV21" i="2"/>
  <c r="AW21" i="2"/>
  <c r="AX21" i="2"/>
  <c r="AY21" i="2"/>
  <c r="AZ21" i="2"/>
  <c r="AM22" i="2"/>
  <c r="AN22" i="2"/>
  <c r="AO22" i="2"/>
  <c r="AS22" i="2" s="1"/>
  <c r="AP22" i="2"/>
  <c r="AQ22" i="2"/>
  <c r="AU22" i="2"/>
  <c r="AV22" i="2"/>
  <c r="AW22" i="2"/>
  <c r="AX22" i="2"/>
  <c r="AY22" i="2"/>
  <c r="AZ22" i="2"/>
  <c r="AM23" i="2"/>
  <c r="AN23" i="2"/>
  <c r="AO23" i="2"/>
  <c r="AS23" i="2" s="1"/>
  <c r="AP23" i="2"/>
  <c r="AQ23" i="2"/>
  <c r="AU23" i="2"/>
  <c r="AV23" i="2"/>
  <c r="AW23" i="2"/>
  <c r="AX23" i="2"/>
  <c r="AY23" i="2"/>
  <c r="AZ23" i="2"/>
  <c r="AM24" i="2"/>
  <c r="AN24" i="2"/>
  <c r="AO24" i="2"/>
  <c r="AS24" i="2" s="1"/>
  <c r="AP24" i="2"/>
  <c r="AQ24" i="2"/>
  <c r="AU24" i="2"/>
  <c r="AV24" i="2"/>
  <c r="AW24" i="2"/>
  <c r="AX24" i="2"/>
  <c r="AY24" i="2"/>
  <c r="AZ24" i="2"/>
  <c r="AM25" i="2"/>
  <c r="AN25" i="2"/>
  <c r="AO25" i="2"/>
  <c r="AS25" i="2" s="1"/>
  <c r="AP25" i="2"/>
  <c r="AQ25" i="2"/>
  <c r="AU25" i="2"/>
  <c r="AV25" i="2"/>
  <c r="AW25" i="2"/>
  <c r="AX25" i="2"/>
  <c r="AY25" i="2"/>
  <c r="AZ25" i="2"/>
  <c r="AM26" i="2"/>
  <c r="AN26" i="2"/>
  <c r="AO26" i="2"/>
  <c r="AS26" i="2" s="1"/>
  <c r="AP26" i="2"/>
  <c r="AQ26" i="2"/>
  <c r="AU26" i="2"/>
  <c r="AV26" i="2"/>
  <c r="AW26" i="2"/>
  <c r="AX26" i="2"/>
  <c r="AY26" i="2"/>
  <c r="AZ26" i="2"/>
  <c r="AM27" i="2"/>
  <c r="AN27" i="2"/>
  <c r="AO27" i="2"/>
  <c r="AS27" i="2" s="1"/>
  <c r="AP27" i="2"/>
  <c r="AQ27" i="2"/>
  <c r="AU27" i="2"/>
  <c r="AV27" i="2"/>
  <c r="AW27" i="2"/>
  <c r="AX27" i="2"/>
  <c r="AY27" i="2"/>
  <c r="AZ27" i="2"/>
  <c r="AM28" i="2"/>
  <c r="AN28" i="2"/>
  <c r="AO28" i="2"/>
  <c r="AS28" i="2" s="1"/>
  <c r="AP28" i="2"/>
  <c r="AQ28" i="2"/>
  <c r="AU28" i="2"/>
  <c r="AV28" i="2"/>
  <c r="AW28" i="2"/>
  <c r="AX28" i="2"/>
  <c r="AY28" i="2"/>
  <c r="AZ28" i="2"/>
  <c r="AM29" i="2"/>
  <c r="AN29" i="2"/>
  <c r="AO29" i="2"/>
  <c r="AS29" i="2" s="1"/>
  <c r="AP29" i="2"/>
  <c r="AQ29" i="2"/>
  <c r="AU29" i="2"/>
  <c r="AV29" i="2"/>
  <c r="AW29" i="2"/>
  <c r="AX29" i="2"/>
  <c r="AY29" i="2"/>
  <c r="AZ29" i="2"/>
  <c r="AM30" i="2"/>
  <c r="AN30" i="2"/>
  <c r="AO30" i="2"/>
  <c r="AS30" i="2" s="1"/>
  <c r="AP30" i="2"/>
  <c r="AQ30" i="2"/>
  <c r="AU30" i="2"/>
  <c r="AV30" i="2"/>
  <c r="AW30" i="2"/>
  <c r="AX30" i="2"/>
  <c r="AY30" i="2"/>
  <c r="AZ30" i="2"/>
  <c r="AM31" i="2"/>
  <c r="AN31" i="2"/>
  <c r="AO31" i="2"/>
  <c r="AS31" i="2" s="1"/>
  <c r="AP31" i="2"/>
  <c r="AQ31" i="2"/>
  <c r="AU31" i="2"/>
  <c r="AV31" i="2"/>
  <c r="AW31" i="2"/>
  <c r="AX31" i="2"/>
  <c r="AY31" i="2"/>
  <c r="AZ31" i="2"/>
  <c r="AM32" i="2"/>
  <c r="AN32" i="2"/>
  <c r="AO32" i="2"/>
  <c r="AS32" i="2" s="1"/>
  <c r="AP32" i="2"/>
  <c r="AQ32" i="2"/>
  <c r="AU32" i="2"/>
  <c r="AV32" i="2"/>
  <c r="AW32" i="2"/>
  <c r="AX32" i="2"/>
  <c r="AY32" i="2"/>
  <c r="AZ32" i="2"/>
  <c r="AM33" i="2"/>
  <c r="AN33" i="2"/>
  <c r="AO33" i="2"/>
  <c r="AS33" i="2" s="1"/>
  <c r="AP33" i="2"/>
  <c r="AQ33" i="2"/>
  <c r="AU33" i="2"/>
  <c r="AV33" i="2"/>
  <c r="AW33" i="2"/>
  <c r="AX33" i="2"/>
  <c r="AY33" i="2"/>
  <c r="AZ33" i="2"/>
  <c r="AM34" i="2"/>
  <c r="AN34" i="2"/>
  <c r="AO34" i="2"/>
  <c r="AS34" i="2" s="1"/>
  <c r="AP34" i="2"/>
  <c r="AQ34" i="2"/>
  <c r="AU34" i="2"/>
  <c r="AV34" i="2"/>
  <c r="AW34" i="2"/>
  <c r="AX34" i="2"/>
  <c r="AY34" i="2"/>
  <c r="AZ34" i="2"/>
  <c r="AM35" i="2"/>
  <c r="AN35" i="2"/>
  <c r="AO35" i="2"/>
  <c r="AS35" i="2" s="1"/>
  <c r="AP35" i="2"/>
  <c r="AQ35" i="2"/>
  <c r="AU35" i="2"/>
  <c r="AV35" i="2"/>
  <c r="AW35" i="2"/>
  <c r="AX35" i="2"/>
  <c r="AY35" i="2"/>
  <c r="AZ35" i="2"/>
  <c r="AR35" i="2" l="1"/>
  <c r="AR27" i="2"/>
  <c r="AR19" i="2"/>
  <c r="AR34" i="2"/>
  <c r="AT33" i="2"/>
  <c r="AR32" i="2"/>
  <c r="BA23" i="2"/>
  <c r="AT22" i="2"/>
  <c r="BA15" i="2"/>
  <c r="AT14" i="2"/>
  <c r="BA30" i="2"/>
  <c r="AR29" i="2"/>
  <c r="AR28" i="2"/>
  <c r="AT35" i="2"/>
  <c r="BA32" i="2"/>
  <c r="AR31" i="2"/>
  <c r="AR30" i="2"/>
  <c r="BA28" i="2"/>
  <c r="AR33" i="2"/>
  <c r="AT19" i="2"/>
  <c r="BA33" i="2"/>
  <c r="BB33" i="2" s="1"/>
  <c r="BA17" i="2"/>
  <c r="AT16" i="2"/>
  <c r="AR26" i="2"/>
  <c r="BA22" i="2"/>
  <c r="AT21" i="2"/>
  <c r="AR18" i="2"/>
  <c r="BA14" i="2"/>
  <c r="BA34" i="2"/>
  <c r="BA31" i="2"/>
  <c r="BA29" i="2"/>
  <c r="BA27" i="2"/>
  <c r="AT26" i="2"/>
  <c r="AR23" i="2"/>
  <c r="BA19" i="2"/>
  <c r="AT18" i="2"/>
  <c r="AR15" i="2"/>
  <c r="AT27" i="2"/>
  <c r="AR24" i="2"/>
  <c r="AR16" i="2"/>
  <c r="AT29" i="2"/>
  <c r="BA25" i="2"/>
  <c r="AR21" i="2"/>
  <c r="AT34" i="2"/>
  <c r="BA24" i="2"/>
  <c r="AT23" i="2"/>
  <c r="AR20" i="2"/>
  <c r="BA16" i="2"/>
  <c r="AT15" i="2"/>
  <c r="BA35" i="2"/>
  <c r="AT32" i="2"/>
  <c r="AT30" i="2"/>
  <c r="AT28" i="2"/>
  <c r="BB28" i="2" s="1"/>
  <c r="AR25" i="2"/>
  <c r="BA21" i="2"/>
  <c r="AT20" i="2"/>
  <c r="AR17" i="2"/>
  <c r="BA26" i="2"/>
  <c r="AT25" i="2"/>
  <c r="AR22" i="2"/>
  <c r="BA18" i="2"/>
  <c r="AT17" i="2"/>
  <c r="AR14" i="2"/>
  <c r="BB22" i="2"/>
  <c r="BA20" i="2"/>
  <c r="AT31" i="2"/>
  <c r="AT24" i="2"/>
  <c r="AZ13" i="2"/>
  <c r="AY13" i="2"/>
  <c r="AX13" i="2"/>
  <c r="AW13" i="2"/>
  <c r="AV13" i="2"/>
  <c r="AU13" i="2"/>
  <c r="AQ13" i="2"/>
  <c r="AP13" i="2"/>
  <c r="AO13" i="2"/>
  <c r="AS13" i="2" s="1"/>
  <c r="AN13" i="2"/>
  <c r="AM13" i="2"/>
  <c r="AZ12" i="2"/>
  <c r="AY12" i="2"/>
  <c r="AX12" i="2"/>
  <c r="AW12" i="2"/>
  <c r="AV12" i="2"/>
  <c r="AU12" i="2"/>
  <c r="AQ12" i="2"/>
  <c r="AP12" i="2"/>
  <c r="AO12" i="2"/>
  <c r="AS12" i="2" s="1"/>
  <c r="AN12" i="2"/>
  <c r="AM12" i="2"/>
  <c r="AZ11" i="2"/>
  <c r="AY11" i="2"/>
  <c r="AX11" i="2"/>
  <c r="AW11" i="2"/>
  <c r="AV11" i="2"/>
  <c r="AU11" i="2"/>
  <c r="AQ11" i="2"/>
  <c r="AP11" i="2"/>
  <c r="AO11" i="2"/>
  <c r="AS11" i="2" s="1"/>
  <c r="AN11" i="2"/>
  <c r="AM11" i="2"/>
  <c r="AZ10" i="2"/>
  <c r="AY10" i="2"/>
  <c r="AX10" i="2"/>
  <c r="AW10" i="2"/>
  <c r="AV10" i="2"/>
  <c r="AU10" i="2"/>
  <c r="AQ10" i="2"/>
  <c r="AP10" i="2"/>
  <c r="AO10" i="2"/>
  <c r="AS10" i="2" s="1"/>
  <c r="AN10" i="2"/>
  <c r="AM10" i="2"/>
  <c r="AZ9" i="2"/>
  <c r="AY9" i="2"/>
  <c r="AX9" i="2"/>
  <c r="AW9" i="2"/>
  <c r="AV9" i="2"/>
  <c r="AU9" i="2"/>
  <c r="AQ9" i="2"/>
  <c r="AP9" i="2"/>
  <c r="AO9" i="2"/>
  <c r="AS9" i="2" s="1"/>
  <c r="AN9" i="2"/>
  <c r="AM9" i="2"/>
  <c r="AZ8" i="2"/>
  <c r="AY8" i="2"/>
  <c r="AX8" i="2"/>
  <c r="AW8" i="2"/>
  <c r="AV8" i="2"/>
  <c r="AQ8" i="2"/>
  <c r="AP8" i="2"/>
  <c r="AO8" i="2"/>
  <c r="AM8" i="2"/>
  <c r="BB25" i="2" l="1"/>
  <c r="BB31" i="2"/>
  <c r="BB35" i="2"/>
  <c r="BB15" i="2"/>
  <c r="BB29" i="2"/>
  <c r="BB24" i="2"/>
  <c r="BB30" i="2"/>
  <c r="BB32" i="2"/>
  <c r="BB23" i="2"/>
  <c r="BB14" i="2"/>
  <c r="AS8" i="2"/>
  <c r="AR8" i="2"/>
  <c r="BB26" i="2"/>
  <c r="BB21" i="2"/>
  <c r="BB34" i="2"/>
  <c r="BB18" i="2"/>
  <c r="AT11" i="2"/>
  <c r="BB27" i="2"/>
  <c r="BB20" i="2"/>
  <c r="AT9" i="2"/>
  <c r="BB17" i="2"/>
  <c r="BB16" i="2"/>
  <c r="BB19" i="2"/>
  <c r="AT10" i="2"/>
  <c r="AT12" i="2"/>
  <c r="AT8" i="2"/>
  <c r="AT13" i="2"/>
  <c r="AR11" i="2"/>
  <c r="BA11" i="2"/>
  <c r="AR10" i="2"/>
  <c r="BA10" i="2"/>
  <c r="AR9" i="2"/>
  <c r="BA9" i="2"/>
  <c r="BA8" i="2"/>
  <c r="BA13" i="2"/>
  <c r="AR12" i="2"/>
  <c r="BA12" i="2"/>
  <c r="AR13" i="2"/>
  <c r="AZ37" i="1"/>
  <c r="AY37" i="1"/>
  <c r="AX37" i="1"/>
  <c r="AW37" i="1"/>
  <c r="AV37" i="1"/>
  <c r="AU37" i="1"/>
  <c r="AQ37" i="1"/>
  <c r="AP37" i="1"/>
  <c r="AO37" i="1"/>
  <c r="AN37" i="1"/>
  <c r="AM37" i="1"/>
  <c r="AZ36" i="1"/>
  <c r="AY36" i="1"/>
  <c r="AX36" i="1"/>
  <c r="AW36" i="1"/>
  <c r="AV36" i="1"/>
  <c r="AU36" i="1"/>
  <c r="AQ36" i="1"/>
  <c r="AP36" i="1"/>
  <c r="AO36" i="1"/>
  <c r="AN36" i="1"/>
  <c r="AM36" i="1"/>
  <c r="AZ35" i="1"/>
  <c r="AY35" i="1"/>
  <c r="AX35" i="1"/>
  <c r="AW35" i="1"/>
  <c r="AV35" i="1"/>
  <c r="AU35" i="1"/>
  <c r="AQ35" i="1"/>
  <c r="AP35" i="1"/>
  <c r="AO35" i="1"/>
  <c r="AN35" i="1"/>
  <c r="AM35" i="1"/>
  <c r="AZ34" i="1"/>
  <c r="AY34" i="1"/>
  <c r="AX34" i="1"/>
  <c r="AW34" i="1"/>
  <c r="AV34" i="1"/>
  <c r="AU34" i="1"/>
  <c r="AQ34" i="1"/>
  <c r="AP34" i="1"/>
  <c r="AO34" i="1"/>
  <c r="AN34" i="1"/>
  <c r="AM34" i="1"/>
  <c r="AZ33" i="1"/>
  <c r="AY33" i="1"/>
  <c r="AX33" i="1"/>
  <c r="AW33" i="1"/>
  <c r="AV33" i="1"/>
  <c r="AU33" i="1"/>
  <c r="AQ33" i="1"/>
  <c r="AP33" i="1"/>
  <c r="AO33" i="1"/>
  <c r="AN33" i="1"/>
  <c r="AM33" i="1"/>
  <c r="AZ32" i="1"/>
  <c r="AY32" i="1"/>
  <c r="AX32" i="1"/>
  <c r="AW32" i="1"/>
  <c r="AV32" i="1"/>
  <c r="AU32" i="1"/>
  <c r="AQ32" i="1"/>
  <c r="AP32" i="1"/>
  <c r="AO32" i="1"/>
  <c r="AN32" i="1"/>
  <c r="AM32" i="1"/>
  <c r="AZ31" i="1"/>
  <c r="AY31" i="1"/>
  <c r="AX31" i="1"/>
  <c r="AW31" i="1"/>
  <c r="AV31" i="1"/>
  <c r="AU31" i="1"/>
  <c r="AQ31" i="1"/>
  <c r="AP31" i="1"/>
  <c r="AO31" i="1"/>
  <c r="AN31" i="1"/>
  <c r="AM31" i="1"/>
  <c r="AZ30" i="1"/>
  <c r="AY30" i="1"/>
  <c r="AX30" i="1"/>
  <c r="AW30" i="1"/>
  <c r="AV30" i="1"/>
  <c r="AU30" i="1"/>
  <c r="AQ30" i="1"/>
  <c r="AP30" i="1"/>
  <c r="AO30" i="1"/>
  <c r="AN30" i="1"/>
  <c r="AM30" i="1"/>
  <c r="AZ29" i="1"/>
  <c r="AY29" i="1"/>
  <c r="AX29" i="1"/>
  <c r="AW29" i="1"/>
  <c r="AV29" i="1"/>
  <c r="AU29" i="1"/>
  <c r="AQ29" i="1"/>
  <c r="AP29" i="1"/>
  <c r="AO29" i="1"/>
  <c r="AN29" i="1"/>
  <c r="AM29" i="1"/>
  <c r="AZ28" i="1"/>
  <c r="AY28" i="1"/>
  <c r="AX28" i="1"/>
  <c r="AW28" i="1"/>
  <c r="AV28" i="1"/>
  <c r="AU28" i="1"/>
  <c r="AQ28" i="1"/>
  <c r="AP28" i="1"/>
  <c r="AO28" i="1"/>
  <c r="AN28" i="1"/>
  <c r="AM28" i="1"/>
  <c r="AZ27" i="1"/>
  <c r="AY27" i="1"/>
  <c r="AX27" i="1"/>
  <c r="AW27" i="1"/>
  <c r="AV27" i="1"/>
  <c r="AU27" i="1"/>
  <c r="AQ27" i="1"/>
  <c r="AP27" i="1"/>
  <c r="AO27" i="1"/>
  <c r="AN27" i="1"/>
  <c r="AM27" i="1"/>
  <c r="AZ26" i="1"/>
  <c r="AY26" i="1"/>
  <c r="AX26" i="1"/>
  <c r="AW26" i="1"/>
  <c r="AV26" i="1"/>
  <c r="AU26" i="1"/>
  <c r="AQ26" i="1"/>
  <c r="AP26" i="1"/>
  <c r="AO26" i="1"/>
  <c r="AN26" i="1"/>
  <c r="AM26" i="1"/>
  <c r="AZ25" i="1"/>
  <c r="AY25" i="1"/>
  <c r="AX25" i="1"/>
  <c r="AW25" i="1"/>
  <c r="AV25" i="1"/>
  <c r="AU25" i="1"/>
  <c r="AQ25" i="1"/>
  <c r="AP25" i="1"/>
  <c r="AO25" i="1"/>
  <c r="AN25" i="1"/>
  <c r="AM25" i="1"/>
  <c r="AZ24" i="1"/>
  <c r="AY24" i="1"/>
  <c r="AX24" i="1"/>
  <c r="AW24" i="1"/>
  <c r="AV24" i="1"/>
  <c r="AU24" i="1"/>
  <c r="AQ24" i="1"/>
  <c r="AP24" i="1"/>
  <c r="AO24" i="1"/>
  <c r="AN24" i="1"/>
  <c r="AM24" i="1"/>
  <c r="AZ23" i="1"/>
  <c r="AY23" i="1"/>
  <c r="AX23" i="1"/>
  <c r="AW23" i="1"/>
  <c r="AV23" i="1"/>
  <c r="AU23" i="1"/>
  <c r="AQ23" i="1"/>
  <c r="AP23" i="1"/>
  <c r="AO23" i="1"/>
  <c r="AN23" i="1"/>
  <c r="AM23" i="1"/>
  <c r="AZ22" i="1"/>
  <c r="AY22" i="1"/>
  <c r="AX22" i="1"/>
  <c r="AW22" i="1"/>
  <c r="AV22" i="1"/>
  <c r="AU22" i="1"/>
  <c r="AQ22" i="1"/>
  <c r="AP22" i="1"/>
  <c r="AO22" i="1"/>
  <c r="AN22" i="1"/>
  <c r="AM22" i="1"/>
  <c r="AZ21" i="1"/>
  <c r="AY21" i="1"/>
  <c r="AX21" i="1"/>
  <c r="AW21" i="1"/>
  <c r="AV21" i="1"/>
  <c r="AU21" i="1"/>
  <c r="AQ21" i="1"/>
  <c r="AP21" i="1"/>
  <c r="AO21" i="1"/>
  <c r="AN21" i="1"/>
  <c r="AM21" i="1"/>
  <c r="AZ20" i="1"/>
  <c r="AY20" i="1"/>
  <c r="AX20" i="1"/>
  <c r="AW20" i="1"/>
  <c r="AV20" i="1"/>
  <c r="AU20" i="1"/>
  <c r="AQ20" i="1"/>
  <c r="AP20" i="1"/>
  <c r="AO20" i="1"/>
  <c r="AN20" i="1"/>
  <c r="AM20" i="1"/>
  <c r="AZ19" i="1"/>
  <c r="AY19" i="1"/>
  <c r="AX19" i="1"/>
  <c r="AW19" i="1"/>
  <c r="AV19" i="1"/>
  <c r="AU19" i="1"/>
  <c r="AQ19" i="1"/>
  <c r="AP19" i="1"/>
  <c r="AO19" i="1"/>
  <c r="AN19" i="1"/>
  <c r="AM19" i="1"/>
  <c r="AZ18" i="1"/>
  <c r="AY18" i="1"/>
  <c r="AX18" i="1"/>
  <c r="AW18" i="1"/>
  <c r="AV18" i="1"/>
  <c r="AU18" i="1"/>
  <c r="AQ18" i="1"/>
  <c r="AP18" i="1"/>
  <c r="AO18" i="1"/>
  <c r="AN18" i="1"/>
  <c r="AM18" i="1"/>
  <c r="AZ17" i="1"/>
  <c r="AY17" i="1"/>
  <c r="AX17" i="1"/>
  <c r="AW17" i="1"/>
  <c r="AV17" i="1"/>
  <c r="AU17" i="1"/>
  <c r="AQ17" i="1"/>
  <c r="AP17" i="1"/>
  <c r="AO17" i="1"/>
  <c r="AN17" i="1"/>
  <c r="AM17" i="1"/>
  <c r="AZ16" i="1"/>
  <c r="AY16" i="1"/>
  <c r="AX16" i="1"/>
  <c r="AW16" i="1"/>
  <c r="AV16" i="1"/>
  <c r="AU16" i="1"/>
  <c r="AQ16" i="1"/>
  <c r="AP16" i="1"/>
  <c r="AO16" i="1"/>
  <c r="AN16" i="1"/>
  <c r="AM16" i="1"/>
  <c r="AZ15" i="1"/>
  <c r="AY15" i="1"/>
  <c r="AX15" i="1"/>
  <c r="AW15" i="1"/>
  <c r="AV15" i="1"/>
  <c r="AU15" i="1"/>
  <c r="AQ15" i="1"/>
  <c r="AP15" i="1"/>
  <c r="AO15" i="1"/>
  <c r="AN15" i="1"/>
  <c r="AM15" i="1"/>
  <c r="AZ14" i="1"/>
  <c r="AY14" i="1"/>
  <c r="AX14" i="1"/>
  <c r="AW14" i="1"/>
  <c r="AV14" i="1"/>
  <c r="AU14" i="1"/>
  <c r="AQ14" i="1"/>
  <c r="AP14" i="1"/>
  <c r="AO14" i="1"/>
  <c r="AN14" i="1"/>
  <c r="AM14" i="1"/>
  <c r="AZ13" i="1"/>
  <c r="AY13" i="1"/>
  <c r="AX13" i="1"/>
  <c r="AW13" i="1"/>
  <c r="AV13" i="1"/>
  <c r="AU13" i="1"/>
  <c r="AQ13" i="1"/>
  <c r="AP13" i="1"/>
  <c r="AO13" i="1"/>
  <c r="AS13" i="1" s="1"/>
  <c r="AN13" i="1"/>
  <c r="AM13" i="1"/>
  <c r="AZ12" i="1"/>
  <c r="AY12" i="1"/>
  <c r="AX12" i="1"/>
  <c r="AW12" i="1"/>
  <c r="AV12" i="1"/>
  <c r="AU12" i="1"/>
  <c r="AQ12" i="1"/>
  <c r="AP12" i="1"/>
  <c r="AO12" i="1"/>
  <c r="AN12" i="1"/>
  <c r="AM12" i="1"/>
  <c r="AZ11" i="1"/>
  <c r="AY11" i="1"/>
  <c r="AX11" i="1"/>
  <c r="AW11" i="1"/>
  <c r="AV11" i="1"/>
  <c r="AU11" i="1"/>
  <c r="AQ11" i="1"/>
  <c r="AP11" i="1"/>
  <c r="AO11" i="1"/>
  <c r="AS11" i="1" s="1"/>
  <c r="AN11" i="1"/>
  <c r="AM11" i="1"/>
  <c r="AZ10" i="1"/>
  <c r="AY10" i="1"/>
  <c r="AX10" i="1"/>
  <c r="AW10" i="1"/>
  <c r="AV10" i="1"/>
  <c r="AU10" i="1"/>
  <c r="AQ10" i="1"/>
  <c r="AP10" i="1"/>
  <c r="AO10" i="1"/>
  <c r="AN10" i="1"/>
  <c r="AM10" i="1"/>
  <c r="AZ9" i="1"/>
  <c r="AY9" i="1"/>
  <c r="AX9" i="1"/>
  <c r="AW9" i="1"/>
  <c r="AV9" i="1"/>
  <c r="AU9" i="1"/>
  <c r="AQ9" i="1"/>
  <c r="AP9" i="1"/>
  <c r="AO9" i="1"/>
  <c r="AS9" i="1" s="1"/>
  <c r="AN9" i="1"/>
  <c r="AM9" i="1"/>
  <c r="AZ8" i="1"/>
  <c r="AY8" i="1"/>
  <c r="AX8" i="1"/>
  <c r="AW8" i="1"/>
  <c r="AV8" i="1"/>
  <c r="AU8" i="1"/>
  <c r="AQ8" i="1"/>
  <c r="AP8" i="1"/>
  <c r="AO8" i="1"/>
  <c r="AN8" i="1"/>
  <c r="AM8" i="1"/>
  <c r="BB13" i="2" l="1"/>
  <c r="BB12" i="2"/>
  <c r="BB11" i="2"/>
  <c r="BB10" i="2"/>
  <c r="BB9" i="2"/>
  <c r="BB8" i="2"/>
  <c r="AT10" i="1"/>
  <c r="AT15" i="1"/>
  <c r="AT9" i="1"/>
  <c r="BA20" i="1"/>
  <c r="BA26" i="1"/>
  <c r="BA32" i="1"/>
  <c r="BA13" i="1"/>
  <c r="BA12" i="1"/>
  <c r="AT13" i="1"/>
  <c r="BA14" i="1"/>
  <c r="BA15" i="1"/>
  <c r="BA21" i="1"/>
  <c r="BA27" i="1"/>
  <c r="BA33" i="1"/>
  <c r="BA10" i="1"/>
  <c r="AT11" i="1"/>
  <c r="BA11" i="1"/>
  <c r="AT12" i="1"/>
  <c r="BA19" i="1"/>
  <c r="BA25" i="1"/>
  <c r="BA31" i="1"/>
  <c r="BA37" i="1"/>
  <c r="BA30" i="1"/>
  <c r="BA8" i="1"/>
  <c r="BA36" i="1"/>
  <c r="AT8" i="1"/>
  <c r="BA17" i="1"/>
  <c r="BA23" i="1"/>
  <c r="BA29" i="1"/>
  <c r="BA35" i="1"/>
  <c r="BA9" i="1"/>
  <c r="BA18" i="1"/>
  <c r="BA24" i="1"/>
  <c r="BA16" i="1"/>
  <c r="BA22" i="1"/>
  <c r="BA28" i="1"/>
  <c r="BA34" i="1"/>
  <c r="AR8" i="1"/>
  <c r="AR12" i="1"/>
  <c r="AR14" i="1"/>
  <c r="AR15" i="1"/>
  <c r="AR16" i="1"/>
  <c r="AT16" i="1"/>
  <c r="AR9" i="1"/>
  <c r="AR11" i="1"/>
  <c r="AR13" i="1"/>
  <c r="AS16" i="1"/>
  <c r="AS17" i="1"/>
  <c r="AS18" i="1"/>
  <c r="AS19" i="1"/>
  <c r="AS8" i="1"/>
  <c r="AS10" i="1"/>
  <c r="AS12" i="1"/>
  <c r="AT14" i="1"/>
  <c r="AR10" i="1"/>
  <c r="AS14" i="1"/>
  <c r="AS15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T17" i="1"/>
  <c r="AT18" i="1"/>
  <c r="AT19" i="1"/>
  <c r="BB19" i="1" s="1"/>
  <c r="AT20" i="1"/>
  <c r="AT21" i="1"/>
  <c r="AT22" i="1"/>
  <c r="AT23" i="1"/>
  <c r="BB23" i="1" s="1"/>
  <c r="AT24" i="1"/>
  <c r="AT25" i="1"/>
  <c r="AT26" i="1"/>
  <c r="AT27" i="1"/>
  <c r="AT28" i="1"/>
  <c r="AT29" i="1"/>
  <c r="AT30" i="1"/>
  <c r="BB30" i="1" s="1"/>
  <c r="AT31" i="1"/>
  <c r="AT32" i="1"/>
  <c r="AT33" i="1"/>
  <c r="BB33" i="1" s="1"/>
  <c r="AT34" i="1"/>
  <c r="AT35" i="1"/>
  <c r="AT36" i="1"/>
  <c r="AT37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BB10" i="1" l="1"/>
  <c r="BB29" i="1"/>
  <c r="BB22" i="1"/>
  <c r="BB8" i="1"/>
  <c r="BB25" i="1"/>
  <c r="BB9" i="1"/>
  <c r="BB24" i="1"/>
  <c r="BB12" i="1"/>
  <c r="BB15" i="1"/>
  <c r="BB28" i="1"/>
  <c r="BB21" i="1"/>
  <c r="BB26" i="1"/>
  <c r="BB20" i="1"/>
  <c r="BB36" i="1"/>
  <c r="BB34" i="1"/>
  <c r="BB11" i="1"/>
  <c r="BB13" i="1"/>
  <c r="BB32" i="1"/>
  <c r="BB37" i="1"/>
  <c r="BB31" i="1"/>
  <c r="BB35" i="1"/>
  <c r="BB17" i="1"/>
  <c r="BB16" i="1"/>
  <c r="BB27" i="1"/>
  <c r="BB18" i="1"/>
  <c r="BB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seegene</author>
  </authors>
  <commentList>
    <comment ref="K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seegene:</t>
        </r>
        <r>
          <rPr>
            <sz val="9"/>
            <color indexed="81"/>
            <rFont val="Tahoma"/>
            <family val="2"/>
          </rPr>
          <t xml:space="preserve">
C </t>
        </r>
        <r>
          <rPr>
            <sz val="9"/>
            <color indexed="81"/>
            <rFont val="돋움"/>
            <family val="3"/>
            <charset val="129"/>
          </rPr>
          <t>혹은</t>
        </r>
        <r>
          <rPr>
            <sz val="9"/>
            <color indexed="81"/>
            <rFont val="Tahoma"/>
            <family val="2"/>
          </rPr>
          <t xml:space="preserve"> D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AP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seegene:</t>
        </r>
        <r>
          <rPr>
            <sz val="9"/>
            <color indexed="81"/>
            <rFont val="Tahoma"/>
            <family val="2"/>
          </rPr>
          <t xml:space="preserve">
5240 </t>
        </r>
        <r>
          <rPr>
            <sz val="9"/>
            <color indexed="81"/>
            <rFont val="돋움"/>
            <family val="3"/>
            <charset val="129"/>
          </rPr>
          <t>상신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
/ </t>
        </r>
        <r>
          <rPr>
            <sz val="9"/>
            <color indexed="81"/>
            <rFont val="돋움"/>
            <family val="3"/>
            <charset val="129"/>
          </rPr>
          <t>야간근무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수당만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  <comment ref="AQ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seegene:</t>
        </r>
        <r>
          <rPr>
            <sz val="9"/>
            <color indexed="81"/>
            <rFont val="Tahoma"/>
            <family val="2"/>
          </rPr>
          <t xml:space="preserve">
5240 </t>
        </r>
        <r>
          <rPr>
            <sz val="9"/>
            <color indexed="81"/>
            <rFont val="돋움"/>
            <family val="3"/>
            <charset val="129"/>
          </rPr>
          <t>상신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
/ </t>
        </r>
        <r>
          <rPr>
            <sz val="9"/>
            <color indexed="81"/>
            <rFont val="돋움"/>
            <family val="3"/>
            <charset val="129"/>
          </rPr>
          <t>야간근무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수당만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  <comment ref="AR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seegene: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</t>
        </r>
        <r>
          <rPr>
            <sz val="9"/>
            <color indexed="81"/>
            <rFont val="Tahoma"/>
            <family val="2"/>
          </rPr>
          <t>A+</t>
        </r>
        <r>
          <rPr>
            <sz val="9"/>
            <color indexed="81"/>
            <rFont val="돋움"/>
            <family val="3"/>
            <charset val="129"/>
          </rPr>
          <t>야간</t>
        </r>
        <r>
          <rPr>
            <sz val="9"/>
            <color indexed="81"/>
            <rFont val="Tahoma"/>
            <family val="2"/>
          </rPr>
          <t>B</t>
        </r>
      </text>
    </comment>
    <comment ref="AS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seegene: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</t>
        </r>
        <r>
          <rPr>
            <sz val="9"/>
            <color indexed="81"/>
            <rFont val="Tahoma"/>
            <family val="2"/>
          </rPr>
          <t>B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일제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기준일수</t>
        </r>
      </text>
    </comment>
    <comment ref="AT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seegene:
</t>
        </r>
        <r>
          <rPr>
            <b/>
            <sz val="9"/>
            <color indexed="81"/>
            <rFont val="돋움"/>
            <family val="3"/>
            <charset val="129"/>
          </rPr>
          <t>휴일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제외
</t>
        </r>
      </text>
    </comment>
    <comment ref="BB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seegene: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근로일수와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맞아야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1.</t>
        </r>
        <r>
          <rPr>
            <sz val="9"/>
            <color indexed="81"/>
            <rFont val="돋움"/>
            <family val="3"/>
            <charset val="129"/>
          </rPr>
          <t>분자미생물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제외
</t>
        </r>
        <r>
          <rPr>
            <sz val="9"/>
            <color indexed="81"/>
            <rFont val="Tahoma"/>
            <family val="2"/>
          </rPr>
          <t xml:space="preserve"> 2. </t>
        </r>
        <r>
          <rPr>
            <sz val="9"/>
            <color indexed="81"/>
            <rFont val="돋움"/>
            <family val="3"/>
            <charset val="129"/>
          </rPr>
          <t>로테이션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seegene</author>
  </authors>
  <commentList>
    <comment ref="K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seegene:</t>
        </r>
        <r>
          <rPr>
            <sz val="9"/>
            <color indexed="81"/>
            <rFont val="Tahoma"/>
            <family val="2"/>
          </rPr>
          <t xml:space="preserve">
C </t>
        </r>
        <r>
          <rPr>
            <sz val="9"/>
            <color indexed="81"/>
            <rFont val="돋움"/>
            <family val="3"/>
            <charset val="129"/>
          </rPr>
          <t>혹은</t>
        </r>
        <r>
          <rPr>
            <sz val="9"/>
            <color indexed="81"/>
            <rFont val="Tahoma"/>
            <family val="2"/>
          </rPr>
          <t xml:space="preserve"> D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AP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seegene:</t>
        </r>
        <r>
          <rPr>
            <sz val="9"/>
            <color indexed="81"/>
            <rFont val="Tahoma"/>
            <family val="2"/>
          </rPr>
          <t xml:space="preserve">
5240 </t>
        </r>
        <r>
          <rPr>
            <sz val="9"/>
            <color indexed="81"/>
            <rFont val="돋움"/>
            <family val="3"/>
            <charset val="129"/>
          </rPr>
          <t>상신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
/ </t>
        </r>
        <r>
          <rPr>
            <sz val="9"/>
            <color indexed="81"/>
            <rFont val="돋움"/>
            <family val="3"/>
            <charset val="129"/>
          </rPr>
          <t>야간근무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수당만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  <comment ref="AQ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seegene:</t>
        </r>
        <r>
          <rPr>
            <sz val="9"/>
            <color indexed="81"/>
            <rFont val="Tahoma"/>
            <family val="2"/>
          </rPr>
          <t xml:space="preserve">
5240 </t>
        </r>
        <r>
          <rPr>
            <sz val="9"/>
            <color indexed="81"/>
            <rFont val="돋움"/>
            <family val="3"/>
            <charset val="129"/>
          </rPr>
          <t>상신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
/ </t>
        </r>
        <r>
          <rPr>
            <sz val="9"/>
            <color indexed="81"/>
            <rFont val="돋움"/>
            <family val="3"/>
            <charset val="129"/>
          </rPr>
          <t>야간근무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수당만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  <comment ref="AR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seegene: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</t>
        </r>
        <r>
          <rPr>
            <sz val="9"/>
            <color indexed="81"/>
            <rFont val="Tahoma"/>
            <family val="2"/>
          </rPr>
          <t>A+</t>
        </r>
        <r>
          <rPr>
            <sz val="9"/>
            <color indexed="81"/>
            <rFont val="돋움"/>
            <family val="3"/>
            <charset val="129"/>
          </rPr>
          <t>야간</t>
        </r>
        <r>
          <rPr>
            <sz val="9"/>
            <color indexed="81"/>
            <rFont val="Tahoma"/>
            <family val="2"/>
          </rPr>
          <t>B</t>
        </r>
      </text>
    </comment>
    <comment ref="AS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seegene: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</t>
        </r>
        <r>
          <rPr>
            <sz val="9"/>
            <color indexed="81"/>
            <rFont val="Tahoma"/>
            <family val="2"/>
          </rPr>
          <t>B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일제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기준일수</t>
        </r>
      </text>
    </comment>
    <comment ref="AT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 xml:space="preserve">seegene:
</t>
        </r>
        <r>
          <rPr>
            <b/>
            <sz val="9"/>
            <color indexed="81"/>
            <rFont val="돋움"/>
            <family val="3"/>
            <charset val="129"/>
          </rPr>
          <t>휴일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제외
</t>
        </r>
      </text>
    </comment>
    <comment ref="BB7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seegene: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근로일수와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맞아야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1.</t>
        </r>
        <r>
          <rPr>
            <sz val="9"/>
            <color indexed="81"/>
            <rFont val="돋움"/>
            <family val="3"/>
            <charset val="129"/>
          </rPr>
          <t>분자미생물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제외
</t>
        </r>
        <r>
          <rPr>
            <sz val="9"/>
            <color indexed="81"/>
            <rFont val="Tahoma"/>
            <family val="2"/>
          </rPr>
          <t xml:space="preserve"> 2. </t>
        </r>
        <r>
          <rPr>
            <sz val="9"/>
            <color indexed="81"/>
            <rFont val="돋움"/>
            <family val="3"/>
            <charset val="129"/>
          </rPr>
          <t>로테이션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sharedStrings.xml><?xml version="1.0" encoding="utf-8"?>
<sst xmlns="http://schemas.openxmlformats.org/spreadsheetml/2006/main" count="498" uniqueCount="131">
  <si>
    <t>■ 검사부문 스케쥴관리표</t>
    <phoneticPr fontId="3" type="noConversion"/>
  </si>
  <si>
    <t>기타 : 휴무 / 대체 / 연차 / 경조 / 공가 / 코로나</t>
    <phoneticPr fontId="3" type="noConversion"/>
  </si>
  <si>
    <t>월</t>
    <phoneticPr fontId="3" type="noConversion"/>
  </si>
  <si>
    <t>근로
가능
일수</t>
    <phoneticPr fontId="3" type="noConversion"/>
  </si>
  <si>
    <t>일</t>
    <phoneticPr fontId="3" type="noConversion"/>
  </si>
  <si>
    <t>기준
일수
(10hr)</t>
    <phoneticPr fontId="3" type="noConversion"/>
  </si>
  <si>
    <t>일</t>
    <phoneticPr fontId="3" type="noConversion"/>
  </si>
  <si>
    <t>*야간 A,공휴일,일요일 근무 5240 상신</t>
    <phoneticPr fontId="3" type="noConversion"/>
  </si>
  <si>
    <t>▶ 근무 타입 (고정)</t>
    <phoneticPr fontId="3" type="noConversion"/>
  </si>
  <si>
    <t>주간</t>
    <phoneticPr fontId="3" type="noConversion"/>
  </si>
  <si>
    <t>08:30~17:30</t>
    <phoneticPr fontId="3" type="noConversion"/>
  </si>
  <si>
    <t>야간A</t>
    <phoneticPr fontId="3" type="noConversion"/>
  </si>
  <si>
    <t>8시간</t>
    <phoneticPr fontId="3" type="noConversion"/>
  </si>
  <si>
    <t>야간B</t>
    <phoneticPr fontId="3" type="noConversion"/>
  </si>
  <si>
    <t>10시간</t>
    <phoneticPr fontId="3" type="noConversion"/>
  </si>
  <si>
    <r>
      <t xml:space="preserve">① 총근로일수 확인  </t>
    </r>
    <r>
      <rPr>
        <b/>
        <sz val="10"/>
        <color rgb="FFFF0000"/>
        <rFont val="나눔고딕"/>
        <family val="3"/>
        <charset val="129"/>
      </rPr>
      <t>(제수당 산정)</t>
    </r>
    <phoneticPr fontId="3" type="noConversion"/>
  </si>
  <si>
    <t>No</t>
    <phoneticPr fontId="3" type="noConversion"/>
  </si>
  <si>
    <t>지역구분</t>
    <phoneticPr fontId="3" type="noConversion"/>
  </si>
  <si>
    <t>부서</t>
    <phoneticPr fontId="3" type="noConversion"/>
  </si>
  <si>
    <t>사번</t>
    <phoneticPr fontId="3" type="noConversion"/>
  </si>
  <si>
    <t>성 명</t>
    <phoneticPr fontId="3" type="noConversion"/>
  </si>
  <si>
    <t>개인 기준 
(10hr)</t>
    <phoneticPr fontId="3" type="noConversion"/>
  </si>
  <si>
    <t>야간A
(8hr)</t>
    <phoneticPr fontId="3" type="noConversion"/>
  </si>
  <si>
    <t>야간B
(10hr)</t>
    <phoneticPr fontId="3" type="noConversion"/>
  </si>
  <si>
    <t>휴일C
(8hr)</t>
    <phoneticPr fontId="3" type="noConversion"/>
  </si>
  <si>
    <t>휴일D
(10hr)</t>
    <phoneticPr fontId="3" type="noConversion"/>
  </si>
  <si>
    <t>야간
합계</t>
    <phoneticPr fontId="3" type="noConversion"/>
  </si>
  <si>
    <t>연장일수</t>
    <phoneticPr fontId="3" type="noConversion"/>
  </si>
  <si>
    <t>근로
합계</t>
    <phoneticPr fontId="3" type="noConversion"/>
  </si>
  <si>
    <t>휴무</t>
    <phoneticPr fontId="3" type="noConversion"/>
  </si>
  <si>
    <t>대체</t>
    <phoneticPr fontId="3" type="noConversion"/>
  </si>
  <si>
    <t>연차</t>
    <phoneticPr fontId="3" type="noConversion"/>
  </si>
  <si>
    <t>경조</t>
    <phoneticPr fontId="3" type="noConversion"/>
  </si>
  <si>
    <t>코로나</t>
    <phoneticPr fontId="3" type="noConversion"/>
  </si>
  <si>
    <t>공가</t>
    <phoneticPr fontId="3" type="noConversion"/>
  </si>
  <si>
    <t>휴무
합계</t>
    <phoneticPr fontId="3" type="noConversion"/>
  </si>
  <si>
    <t>총계</t>
    <phoneticPr fontId="3" type="noConversion"/>
  </si>
  <si>
    <t>.</t>
    <phoneticPr fontId="3" type="noConversion"/>
  </si>
  <si>
    <t xml:space="preserve"> ▶ 부서명</t>
    <phoneticPr fontId="3" type="noConversion"/>
  </si>
  <si>
    <t>근무 타입 변경 사유</t>
    <phoneticPr fontId="3" type="noConversion"/>
  </si>
  <si>
    <r>
      <t>■ 작성방법 : ① 부서명(근무 타입), 작성월 기입 (야간 근무자의 근로가능일수 및 주4일제 기준일수 기재)</t>
    </r>
    <r>
      <rPr>
        <sz val="10"/>
        <color rgb="FFFF0000"/>
        <rFont val="나눔고딕"/>
        <family val="3"/>
        <charset val="129"/>
      </rPr>
      <t xml:space="preserve">
                       </t>
    </r>
    <r>
      <rPr>
        <sz val="10"/>
        <rFont val="나눔고딕"/>
        <family val="3"/>
        <charset val="129"/>
      </rPr>
      <t>② 근무타입 A 8시간, B 10시간 기재 ③ 사번 및 성명, 일자별 근</t>
    </r>
    <r>
      <rPr>
        <sz val="10"/>
        <color theme="1"/>
        <rFont val="나눔고딕"/>
        <family val="3"/>
        <charset val="129"/>
      </rPr>
      <t xml:space="preserve">무타입 입력(기타 등)
                       </t>
    </r>
    <r>
      <rPr>
        <b/>
        <sz val="10"/>
        <color rgb="FFFF0000"/>
        <rFont val="나눔고딕"/>
        <family val="3"/>
        <charset val="129"/>
      </rPr>
      <t>※ 근무타입 변경은 사전 검사운영팀&amp;인사팀과 협의가 필요하며 임의변경 시 수당계산에 영향을 미침</t>
    </r>
    <phoneticPr fontId="3" type="noConversion"/>
  </si>
  <si>
    <t>광주</t>
    <phoneticPr fontId="3" type="noConversion"/>
  </si>
  <si>
    <t>분자진단학부</t>
    <phoneticPr fontId="3" type="noConversion"/>
  </si>
  <si>
    <t>박석호</t>
  </si>
  <si>
    <t>손가영</t>
  </si>
  <si>
    <t>김지효</t>
  </si>
  <si>
    <t>윤희경</t>
  </si>
  <si>
    <t>강승혜</t>
  </si>
  <si>
    <t>양다연</t>
  </si>
  <si>
    <t>정석희</t>
  </si>
  <si>
    <t>6/20~6/24 해외연수, 6/27~6/28 승진자 본원 교육</t>
  </si>
  <si>
    <t>주/야간 로테이션 으로 인해 6/2까지 야간근무 진행</t>
  </si>
  <si>
    <t>휴</t>
  </si>
  <si>
    <t>A</t>
    <phoneticPr fontId="3" type="noConversion"/>
  </si>
  <si>
    <t>대</t>
    <phoneticPr fontId="3" type="noConversion"/>
  </si>
  <si>
    <t>휴</t>
    <phoneticPr fontId="3" type="noConversion"/>
  </si>
  <si>
    <t>A</t>
    <phoneticPr fontId="3" type="noConversion"/>
  </si>
  <si>
    <t>대</t>
    <phoneticPr fontId="3" type="noConversion"/>
  </si>
  <si>
    <t>공</t>
    <phoneticPr fontId="3" type="noConversion"/>
  </si>
  <si>
    <t>공</t>
    <phoneticPr fontId="3" type="noConversion"/>
  </si>
  <si>
    <t>휴</t>
    <phoneticPr fontId="3" type="noConversion"/>
  </si>
  <si>
    <t>대</t>
    <phoneticPr fontId="3" type="noConversion"/>
  </si>
  <si>
    <t>B</t>
    <phoneticPr fontId="3" type="noConversion"/>
  </si>
  <si>
    <t>B</t>
    <phoneticPr fontId="3" type="noConversion"/>
  </si>
  <si>
    <t>휴</t>
    <phoneticPr fontId="3" type="noConversion"/>
  </si>
  <si>
    <t>D</t>
    <phoneticPr fontId="3" type="noConversion"/>
  </si>
  <si>
    <t>C</t>
    <phoneticPr fontId="3" type="noConversion"/>
  </si>
  <si>
    <t>L20089</t>
  </si>
  <si>
    <t>L20106</t>
  </si>
  <si>
    <t>L21050</t>
  </si>
  <si>
    <t>L21052</t>
  </si>
  <si>
    <t>L21061</t>
  </si>
  <si>
    <t>L21060</t>
  </si>
  <si>
    <t>L21051</t>
  </si>
  <si>
    <t>광주호남검사센터
분자진단학부 (주4+5일제)</t>
    <phoneticPr fontId="3" type="noConversion"/>
  </si>
  <si>
    <t>주</t>
    <phoneticPr fontId="3" type="noConversion"/>
  </si>
  <si>
    <t>휴</t>
    <phoneticPr fontId="3" type="noConversion"/>
  </si>
  <si>
    <t>공</t>
    <phoneticPr fontId="3" type="noConversion"/>
  </si>
  <si>
    <t>분자미생물학팀</t>
    <phoneticPr fontId="3" type="noConversion"/>
  </si>
  <si>
    <t>기준
일수
(8hr)</t>
    <phoneticPr fontId="3" type="noConversion"/>
  </si>
  <si>
    <t>개인 기준 
(8hr)</t>
    <phoneticPr fontId="3" type="noConversion"/>
  </si>
  <si>
    <t>광주호남검사센터
분자미생물학팀 (주5일제)</t>
    <phoneticPr fontId="3" type="noConversion"/>
  </si>
  <si>
    <t>휴</t>
    <phoneticPr fontId="3" type="noConversion"/>
  </si>
  <si>
    <t>A</t>
    <phoneticPr fontId="3" type="noConversion"/>
  </si>
  <si>
    <t>휴</t>
    <phoneticPr fontId="3" type="noConversion"/>
  </si>
  <si>
    <t>A</t>
    <phoneticPr fontId="3" type="noConversion"/>
  </si>
  <si>
    <t>A</t>
    <phoneticPr fontId="3" type="noConversion"/>
  </si>
  <si>
    <t>휴</t>
    <phoneticPr fontId="3" type="noConversion"/>
  </si>
  <si>
    <t>휴</t>
    <phoneticPr fontId="3" type="noConversion"/>
  </si>
  <si>
    <t>휴</t>
    <phoneticPr fontId="3" type="noConversion"/>
  </si>
  <si>
    <t>대</t>
    <phoneticPr fontId="3" type="noConversion"/>
  </si>
  <si>
    <t>휴</t>
    <phoneticPr fontId="3" type="noConversion"/>
  </si>
  <si>
    <t>휴</t>
    <phoneticPr fontId="3" type="noConversion"/>
  </si>
  <si>
    <t>휴</t>
    <phoneticPr fontId="3" type="noConversion"/>
  </si>
  <si>
    <t>A</t>
    <phoneticPr fontId="3" type="noConversion"/>
  </si>
  <si>
    <t>A</t>
    <phoneticPr fontId="3" type="noConversion"/>
  </si>
  <si>
    <t>C</t>
    <phoneticPr fontId="3" type="noConversion"/>
  </si>
  <si>
    <t>A</t>
    <phoneticPr fontId="3" type="noConversion"/>
  </si>
  <si>
    <t>휴</t>
    <phoneticPr fontId="3" type="noConversion"/>
  </si>
  <si>
    <t>A</t>
    <phoneticPr fontId="3" type="noConversion"/>
  </si>
  <si>
    <t>A</t>
    <phoneticPr fontId="3" type="noConversion"/>
  </si>
  <si>
    <t>C</t>
    <phoneticPr fontId="3" type="noConversion"/>
  </si>
  <si>
    <t>대</t>
    <phoneticPr fontId="3" type="noConversion"/>
  </si>
  <si>
    <t>대</t>
    <phoneticPr fontId="3" type="noConversion"/>
  </si>
  <si>
    <t>연</t>
    <phoneticPr fontId="3" type="noConversion"/>
  </si>
  <si>
    <t>연</t>
    <phoneticPr fontId="3" type="noConversion"/>
  </si>
  <si>
    <t>휴</t>
    <phoneticPr fontId="3" type="noConversion"/>
  </si>
  <si>
    <t>A</t>
    <phoneticPr fontId="3" type="noConversion"/>
  </si>
  <si>
    <t>연</t>
    <phoneticPr fontId="3" type="noConversion"/>
  </si>
  <si>
    <t>C</t>
    <phoneticPr fontId="3" type="noConversion"/>
  </si>
  <si>
    <t>C</t>
    <phoneticPr fontId="3" type="noConversion"/>
  </si>
  <si>
    <t>A</t>
    <phoneticPr fontId="3" type="noConversion"/>
  </si>
  <si>
    <t>A</t>
    <phoneticPr fontId="3" type="noConversion"/>
  </si>
  <si>
    <t>대</t>
    <phoneticPr fontId="3" type="noConversion"/>
  </si>
  <si>
    <t>A</t>
    <phoneticPr fontId="3" type="noConversion"/>
  </si>
  <si>
    <t>대</t>
    <phoneticPr fontId="3" type="noConversion"/>
  </si>
  <si>
    <t>A</t>
    <phoneticPr fontId="3" type="noConversion"/>
  </si>
  <si>
    <t>A</t>
    <phoneticPr fontId="3" type="noConversion"/>
  </si>
  <si>
    <t>대</t>
    <phoneticPr fontId="3" type="noConversion"/>
  </si>
  <si>
    <t>연</t>
    <phoneticPr fontId="3" type="noConversion"/>
  </si>
  <si>
    <t>A</t>
    <phoneticPr fontId="3" type="noConversion"/>
  </si>
  <si>
    <t>A</t>
    <phoneticPr fontId="3" type="noConversion"/>
  </si>
  <si>
    <t>A</t>
    <phoneticPr fontId="3" type="noConversion"/>
  </si>
  <si>
    <t>대</t>
    <phoneticPr fontId="3" type="noConversion"/>
  </si>
  <si>
    <t>A</t>
    <phoneticPr fontId="3" type="noConversion"/>
  </si>
  <si>
    <t>휴</t>
    <phoneticPr fontId="3" type="noConversion"/>
  </si>
  <si>
    <t>대</t>
    <phoneticPr fontId="3" type="noConversion"/>
  </si>
  <si>
    <t>A</t>
    <phoneticPr fontId="3" type="noConversion"/>
  </si>
  <si>
    <t>C</t>
    <phoneticPr fontId="3" type="noConversion"/>
  </si>
  <si>
    <t>휴</t>
    <phoneticPr fontId="3" type="noConversion"/>
  </si>
  <si>
    <t>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</si>
</sst>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2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0"/>
      <color rgb="FFFF0000"/>
      <name val="나눔고딕"/>
      <family val="3"/>
      <charset val="129"/>
    </font>
    <font>
      <b/>
      <sz val="10"/>
      <color rgb="FF0000FF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9.5"/>
      <color theme="1"/>
      <name val="나눔고딕"/>
      <family val="3"/>
      <charset val="129"/>
    </font>
    <font>
      <sz val="8"/>
      <color theme="1"/>
      <name val="나눔고딕"/>
      <family val="3"/>
      <charset val="129"/>
    </font>
    <font>
      <sz val="10"/>
      <color theme="0"/>
      <name val="나눔고딕"/>
      <family val="3"/>
      <charset val="129"/>
    </font>
    <font>
      <sz val="10"/>
      <name val="나눔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0"/>
      <color rgb="FFFF0000"/>
      <name val="나눔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 style="hair">
        <color auto="1"/>
      </right>
      <top style="medium">
        <color rgb="FF0000FF"/>
      </top>
      <bottom style="medium">
        <color rgb="FF0000FF"/>
      </bottom>
      <diagonal/>
    </border>
    <border>
      <left style="hair">
        <color auto="1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hair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rgb="FFC00000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C00000"/>
      </right>
      <top style="hair">
        <color auto="1"/>
      </top>
      <bottom style="hair">
        <color auto="1"/>
      </bottom>
      <diagonal/>
    </border>
    <border>
      <left style="medium">
        <color rgb="FFC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00000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4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41" fontId="2" fillId="0" borderId="0" xfId="1" applyFont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1" applyNumberFormat="1" applyFont="1" applyBorder="1" applyAlignment="1">
      <alignment horizontal="left" vertical="center"/>
    </xf>
    <xf numFmtId="0" fontId="2" fillId="0" borderId="0" xfId="1" applyNumberFormat="1" applyFont="1" applyBorder="1" applyAlignment="1">
      <alignment vertical="center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0" borderId="0" xfId="1" applyNumberFormat="1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1" fontId="10" fillId="5" borderId="18" xfId="1" applyFont="1" applyFill="1" applyBorder="1" applyAlignment="1">
      <alignment horizontal="center" vertical="center" wrapText="1"/>
    </xf>
    <xf numFmtId="41" fontId="11" fillId="2" borderId="19" xfId="1" applyFont="1" applyFill="1" applyBorder="1" applyAlignment="1">
      <alignment horizontal="center" vertical="center"/>
    </xf>
    <xf numFmtId="41" fontId="10" fillId="2" borderId="20" xfId="1" applyFont="1" applyFill="1" applyBorder="1" applyAlignment="1">
      <alignment horizontal="center" vertical="center" wrapText="1"/>
    </xf>
    <xf numFmtId="41" fontId="10" fillId="2" borderId="21" xfId="1" applyFont="1" applyFill="1" applyBorder="1" applyAlignment="1">
      <alignment horizontal="center" vertical="center" wrapText="1"/>
    </xf>
    <xf numFmtId="41" fontId="11" fillId="2" borderId="22" xfId="1" applyFont="1" applyFill="1" applyBorder="1" applyAlignment="1">
      <alignment horizontal="center" vertical="center"/>
    </xf>
    <xf numFmtId="41" fontId="11" fillId="2" borderId="20" xfId="1" applyFont="1" applyFill="1" applyBorder="1" applyAlignment="1">
      <alignment horizontal="center" vertical="center"/>
    </xf>
    <xf numFmtId="41" fontId="11" fillId="2" borderId="23" xfId="1" applyFont="1" applyFill="1" applyBorder="1" applyAlignment="1">
      <alignment horizontal="center" vertical="center"/>
    </xf>
    <xf numFmtId="41" fontId="11" fillId="0" borderId="18" xfId="1" applyFont="1" applyFill="1" applyBorder="1" applyAlignment="1">
      <alignment horizontal="center" vertical="center" wrapText="1"/>
    </xf>
    <xf numFmtId="41" fontId="11" fillId="7" borderId="24" xfId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76" fontId="8" fillId="5" borderId="28" xfId="1" applyNumberFormat="1" applyFont="1" applyFill="1" applyBorder="1" applyAlignment="1">
      <alignment horizontal="center" vertical="center"/>
    </xf>
    <xf numFmtId="41" fontId="4" fillId="2" borderId="29" xfId="1" applyFont="1" applyFill="1" applyBorder="1" applyAlignment="1">
      <alignment horizontal="center" vertical="center"/>
    </xf>
    <xf numFmtId="41" fontId="4" fillId="2" borderId="30" xfId="1" applyFont="1" applyFill="1" applyBorder="1" applyAlignment="1">
      <alignment horizontal="center" vertical="center"/>
    </xf>
    <xf numFmtId="41" fontId="4" fillId="2" borderId="31" xfId="1" applyFont="1" applyFill="1" applyBorder="1" applyAlignment="1">
      <alignment horizontal="center" vertical="center"/>
    </xf>
    <xf numFmtId="41" fontId="4" fillId="6" borderId="32" xfId="1" applyFont="1" applyFill="1" applyBorder="1" applyAlignment="1">
      <alignment horizontal="center" vertical="center"/>
    </xf>
    <xf numFmtId="41" fontId="2" fillId="7" borderId="30" xfId="1" applyFont="1" applyFill="1" applyBorder="1" applyAlignment="1">
      <alignment horizontal="center" vertical="center"/>
    </xf>
    <xf numFmtId="41" fontId="14" fillId="0" borderId="31" xfId="1" applyFont="1" applyFill="1" applyBorder="1" applyAlignment="1">
      <alignment horizontal="center" vertical="center"/>
    </xf>
    <xf numFmtId="41" fontId="4" fillId="2" borderId="33" xfId="1" applyFont="1" applyFill="1" applyBorder="1" applyAlignment="1">
      <alignment horizontal="center" vertical="center"/>
    </xf>
    <xf numFmtId="41" fontId="4" fillId="2" borderId="34" xfId="1" applyFont="1" applyFill="1" applyBorder="1" applyAlignment="1">
      <alignment horizontal="center" vertical="center"/>
    </xf>
    <xf numFmtId="41" fontId="4" fillId="0" borderId="28" xfId="1" applyFont="1" applyFill="1" applyBorder="1" applyAlignment="1">
      <alignment horizontal="center" vertical="center"/>
    </xf>
    <xf numFmtId="41" fontId="4" fillId="7" borderId="35" xfId="1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41" fontId="11" fillId="6" borderId="41" xfId="1" applyFont="1" applyFill="1" applyBorder="1" applyAlignment="1">
      <alignment horizontal="center" vertical="center" wrapText="1"/>
    </xf>
    <xf numFmtId="41" fontId="11" fillId="7" borderId="20" xfId="1" applyFont="1" applyFill="1" applyBorder="1" applyAlignment="1">
      <alignment horizontal="center" vertical="center" wrapText="1"/>
    </xf>
    <xf numFmtId="41" fontId="11" fillId="0" borderId="21" xfId="1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left" vertical="center"/>
    </xf>
    <xf numFmtId="0" fontId="12" fillId="0" borderId="4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2" fillId="8" borderId="49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14" fillId="9" borderId="30" xfId="0" applyFont="1" applyFill="1" applyBorder="1" applyAlignment="1">
      <alignment horizontal="center" vertical="center"/>
    </xf>
    <xf numFmtId="0" fontId="14" fillId="9" borderId="52" xfId="0" applyFont="1" applyFill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14" fillId="10" borderId="52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30">
    <dxf>
      <font>
        <strike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strike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2285;&#49885;\SOP(KSCP)&#50577;\WINDOWS\&#48148;&#53461;%20&#54868;&#47732;\SOP(KSCP)&#50577;&#49885;&#52384;\SOP%20&#50577;&#49885;I\Q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19.252.39.150\&#44160;&#49324;&#50868;&#50689;&#54016;\Users\seegeneSKY\Desktop\skw\&#50577;&#49885;\151_0_&#44033;&#51333;_&#49436;&#47448;_&#50577;&#498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000000"/>
      <sheetName val="HBA1C"/>
      <sheetName val="AIDS"/>
      <sheetName val="Chlamydia"/>
      <sheetName val="Rota-virus"/>
      <sheetName val="GBM"/>
      <sheetName val="기준"/>
      <sheetName val="근무시간(견본)"/>
      <sheetName val="작성기준"/>
    </sheetNames>
    <sheetDataSet>
      <sheetData sheetId="0" refreshError="1"/>
      <sheetData sheetId="1"/>
      <sheetData sheetId="2">
        <row r="10">
          <cell r="G10">
            <v>0</v>
          </cell>
          <cell r="S10">
            <v>0</v>
          </cell>
        </row>
        <row r="11">
          <cell r="G11">
            <v>0</v>
          </cell>
          <cell r="S11">
            <v>0</v>
          </cell>
        </row>
        <row r="12">
          <cell r="G12">
            <v>0</v>
          </cell>
          <cell r="S12">
            <v>0</v>
          </cell>
        </row>
        <row r="13">
          <cell r="G13">
            <v>0</v>
          </cell>
          <cell r="S13">
            <v>0</v>
          </cell>
        </row>
        <row r="14">
          <cell r="G14">
            <v>0</v>
          </cell>
          <cell r="S14">
            <v>0</v>
          </cell>
        </row>
        <row r="15">
          <cell r="G15">
            <v>0</v>
          </cell>
          <cell r="S15">
            <v>0</v>
          </cell>
        </row>
        <row r="16">
          <cell r="G16">
            <v>0</v>
          </cell>
          <cell r="S16">
            <v>0</v>
          </cell>
        </row>
        <row r="17">
          <cell r="G17">
            <v>0</v>
          </cell>
          <cell r="S17">
            <v>0</v>
          </cell>
        </row>
        <row r="18">
          <cell r="G18">
            <v>0</v>
          </cell>
          <cell r="S18">
            <v>0</v>
          </cell>
        </row>
        <row r="19">
          <cell r="G19">
            <v>0</v>
          </cell>
          <cell r="S19">
            <v>0</v>
          </cell>
        </row>
        <row r="20">
          <cell r="G20">
            <v>0</v>
          </cell>
          <cell r="S20">
            <v>0</v>
          </cell>
        </row>
        <row r="21">
          <cell r="G21">
            <v>0</v>
          </cell>
          <cell r="S21">
            <v>0</v>
          </cell>
        </row>
        <row r="22">
          <cell r="G22">
            <v>0</v>
          </cell>
          <cell r="S22">
            <v>0</v>
          </cell>
        </row>
        <row r="23">
          <cell r="G23">
            <v>0</v>
          </cell>
          <cell r="S23">
            <v>0</v>
          </cell>
        </row>
        <row r="24">
          <cell r="G24">
            <v>0</v>
          </cell>
          <cell r="S24">
            <v>0</v>
          </cell>
        </row>
        <row r="25">
          <cell r="G25">
            <v>0</v>
          </cell>
          <cell r="S25">
            <v>0</v>
          </cell>
        </row>
        <row r="26">
          <cell r="G26">
            <v>0</v>
          </cell>
          <cell r="S26">
            <v>0</v>
          </cell>
        </row>
        <row r="27">
          <cell r="G27">
            <v>0</v>
          </cell>
          <cell r="S27">
            <v>0</v>
          </cell>
        </row>
        <row r="28">
          <cell r="G28">
            <v>0</v>
          </cell>
          <cell r="S28">
            <v>0</v>
          </cell>
        </row>
        <row r="29">
          <cell r="G29">
            <v>0</v>
          </cell>
          <cell r="S29">
            <v>0</v>
          </cell>
        </row>
        <row r="30">
          <cell r="G30">
            <v>0</v>
          </cell>
          <cell r="S30">
            <v>0</v>
          </cell>
        </row>
        <row r="31">
          <cell r="G31">
            <v>0</v>
          </cell>
          <cell r="S31">
            <v>0</v>
          </cell>
        </row>
        <row r="32">
          <cell r="G32">
            <v>0</v>
          </cell>
          <cell r="S32">
            <v>0</v>
          </cell>
        </row>
        <row r="33">
          <cell r="G33">
            <v>0</v>
          </cell>
          <cell r="S33">
            <v>0</v>
          </cell>
        </row>
        <row r="34">
          <cell r="G34">
            <v>0</v>
          </cell>
          <cell r="S34">
            <v>0</v>
          </cell>
        </row>
        <row r="35">
          <cell r="G35">
            <v>0</v>
          </cell>
          <cell r="S35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-번호 순서"/>
      <sheetName val="001.휴직원"/>
      <sheetName val="002.회의실사용신청서"/>
      <sheetName val="003.휴가원"/>
      <sheetName val="004.Fax cover"/>
      <sheetName val="005.퇴실자체크리스트"/>
      <sheetName val="006.출장계획보고서"/>
      <sheetName val="007.채용요청서"/>
      <sheetName val="008.검사신청서"/>
      <sheetName val="009.지침서 Label"/>
      <sheetName val="010.증명신청서"/>
      <sheetName val="011.장비이력카드출력"/>
      <sheetName val="012.수리의뢰서"/>
      <sheetName val="013.위임장"/>
      <sheetName val="014.퇴직서약서"/>
      <sheetName val="015.연장휴일근무요청서"/>
      <sheetName val="016.업무협조전"/>
      <sheetName val="017.업무인수인계 및 물품반납 확인서"/>
      <sheetName val="018.업무인수인계서"/>
      <sheetName val="019.야간근무현황표"/>
      <sheetName val="020.식권신청서"/>
      <sheetName val="021.시약및물품신청서"/>
      <sheetName val="022.물품 인수확인서"/>
      <sheetName val="023.평정표"/>
      <sheetName val="024.사직서"/>
      <sheetName val="025.사용인감계"/>
      <sheetName val="026.사무용품(지정품목)신청서"/>
      <sheetName val="027.사무용품(기타품목)신청서"/>
      <sheetName val="028.정산서"/>
      <sheetName val="029.불량채권"/>
      <sheetName val="030.법인카드사용신청서"/>
      <sheetName val="031.방문자 관리 기록서(내국인 ) "/>
      <sheetName val="032.방문자 관리 기록서(외국인)"/>
      <sheetName val="033.폐기요청서"/>
      <sheetName val="034.면담자료기술서"/>
      <sheetName val="035.당직변경"/>
      <sheetName val="036.기안지"/>
      <sheetName val="037.구매요청서"/>
      <sheetName val="038.계산서수정"/>
      <sheetName val="039. 계약직(파견직)직원 근무성적 평가표"/>
      <sheetName val="040. 시말서"/>
      <sheetName val="041. 논문실적 보고서"/>
      <sheetName val="042. 인사 이동신청서"/>
      <sheetName val="043. 경위서"/>
      <sheetName val="044. 계약직 전환 요청서"/>
      <sheetName val="045. 복직원"/>
      <sheetName val="046. 대외공문"/>
      <sheetName val="047. 대내시행문"/>
      <sheetName val="048.취약근로시간 근무현황표"/>
      <sheetName val="049. 정규직 전환 요청서"/>
      <sheetName val="050. 계약직 계약기간 연장 요청서"/>
      <sheetName val="051. 파견직 계약기간 연장 요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:BQ56"/>
  <sheetViews>
    <sheetView showGridLines="0" view="pageBreakPreview" zoomScale="90" zoomScaleNormal="100" zoomScaleSheetLayoutView="90" workbookViewId="0">
      <pane xSplit="5" ySplit="7" topLeftCell="F8" activePane="bottomRight" state="frozen"/>
      <selection activeCell="C167" sqref="C167"/>
      <selection pane="topRight" activeCell="C167" sqref="C167"/>
      <selection pane="bottomLeft" activeCell="C167" sqref="C167"/>
      <selection pane="bottomRight" activeCell="AC11" sqref="AC11"/>
    </sheetView>
  </sheetViews>
  <sheetFormatPr defaultRowHeight="14.25" x14ac:dyDescent="0.3"/>
  <cols>
    <col min="1" max="1" width="4.625" style="1" bestFit="1" customWidth="1"/>
    <col min="2" max="2" width="8" style="1" customWidth="1"/>
    <col min="3" max="3" width="25.625" style="1" bestFit="1" customWidth="1"/>
    <col min="4" max="4" width="5.75" style="1" customWidth="1"/>
    <col min="5" max="5" width="7.25" style="2" customWidth="1"/>
    <col min="6" max="36" width="2.875" style="2" customWidth="1"/>
    <col min="37" max="37" width="0.5" style="3" customWidth="1"/>
    <col min="38" max="38" width="8.875" style="4" customWidth="1"/>
    <col min="39" max="43" width="5.375" style="4" customWidth="1"/>
    <col min="44" max="54" width="4.625" style="4" customWidth="1"/>
    <col min="55" max="55" width="60.625" style="3" customWidth="1"/>
    <col min="56" max="69" width="3.375" style="3" customWidth="1"/>
    <col min="70" max="80" width="3.875" style="3" customWidth="1"/>
    <col min="81" max="16384" width="9" style="3"/>
  </cols>
  <sheetData>
    <row r="1" spans="1:66" ht="10.5" customHeight="1" x14ac:dyDescent="0.3">
      <c r="AU1" s="5"/>
      <c r="AV1" s="5"/>
      <c r="AW1" s="5"/>
      <c r="AX1" s="5"/>
      <c r="AY1" s="5"/>
      <c r="AZ1" s="5"/>
      <c r="BA1" s="5"/>
      <c r="BB1" s="6"/>
    </row>
    <row r="2" spans="1:66" ht="28.5" customHeight="1" thickBot="1" x14ac:dyDescent="0.35">
      <c r="A2" s="99" t="s">
        <v>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AT2" s="5"/>
      <c r="AU2" s="5"/>
      <c r="AV2" s="5"/>
      <c r="AW2" s="5"/>
      <c r="AX2" s="5"/>
      <c r="AY2" s="5"/>
      <c r="AZ2" s="5"/>
      <c r="BA2" s="5"/>
      <c r="BB2" s="6" t="s">
        <v>1</v>
      </c>
    </row>
    <row r="3" spans="1:66" ht="46.5" customHeight="1" thickBot="1" x14ac:dyDescent="0.35">
      <c r="A3" s="100" t="s">
        <v>38</v>
      </c>
      <c r="B3" s="100"/>
      <c r="C3" s="101" t="s">
        <v>74</v>
      </c>
      <c r="D3" s="100"/>
      <c r="E3" s="102"/>
      <c r="F3" s="103">
        <v>6</v>
      </c>
      <c r="G3" s="104"/>
      <c r="H3" s="7" t="s">
        <v>2</v>
      </c>
      <c r="I3" s="105" t="s">
        <v>3</v>
      </c>
      <c r="J3" s="106"/>
      <c r="K3" s="107">
        <v>25</v>
      </c>
      <c r="L3" s="108"/>
      <c r="M3" s="8" t="s">
        <v>4</v>
      </c>
      <c r="N3" s="89" t="s">
        <v>5</v>
      </c>
      <c r="O3" s="90"/>
      <c r="P3" s="91">
        <v>18</v>
      </c>
      <c r="Q3" s="92"/>
      <c r="R3" s="9" t="s">
        <v>6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93" t="s">
        <v>40</v>
      </c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</row>
    <row r="4" spans="1:66" ht="7.5" customHeight="1" x14ac:dyDescent="0.3"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3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</row>
    <row r="5" spans="1:66" ht="24" customHeight="1" x14ac:dyDescent="0.3">
      <c r="A5" s="94" t="s">
        <v>8</v>
      </c>
      <c r="B5" s="95"/>
      <c r="C5" s="95"/>
      <c r="D5" s="95"/>
      <c r="E5" s="96"/>
      <c r="F5" s="97" t="s">
        <v>9</v>
      </c>
      <c r="G5" s="97"/>
      <c r="H5" s="97" t="s">
        <v>10</v>
      </c>
      <c r="I5" s="97"/>
      <c r="J5" s="97"/>
      <c r="K5" s="97"/>
      <c r="L5" s="97"/>
      <c r="M5" s="97" t="s">
        <v>11</v>
      </c>
      <c r="N5" s="97"/>
      <c r="O5" s="97" t="s">
        <v>12</v>
      </c>
      <c r="P5" s="97"/>
      <c r="Q5" s="97"/>
      <c r="R5" s="97"/>
      <c r="S5" s="97"/>
      <c r="T5" s="97" t="s">
        <v>13</v>
      </c>
      <c r="U5" s="97"/>
      <c r="V5" s="97" t="s">
        <v>14</v>
      </c>
      <c r="W5" s="97"/>
      <c r="X5" s="97"/>
      <c r="Y5" s="97"/>
      <c r="Z5" s="98"/>
      <c r="AA5" s="86"/>
      <c r="AB5" s="87"/>
      <c r="AC5" s="88"/>
      <c r="AD5" s="87"/>
      <c r="AE5" s="87"/>
      <c r="AF5" s="87"/>
      <c r="AG5" s="87"/>
      <c r="AH5" s="13"/>
      <c r="AI5" s="13"/>
      <c r="AJ5" s="13"/>
      <c r="AL5" s="16" t="s">
        <v>15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3"/>
      <c r="AX5" s="3"/>
      <c r="AY5" s="2"/>
      <c r="AZ5" s="2"/>
      <c r="BA5" s="3"/>
      <c r="BB5" s="11" t="s">
        <v>7</v>
      </c>
    </row>
    <row r="6" spans="1:66" ht="9" customHeight="1" thickBot="1" x14ac:dyDescent="0.35">
      <c r="A6" s="17"/>
      <c r="B6" s="17"/>
      <c r="C6" s="17"/>
      <c r="D6" s="17"/>
      <c r="E6" s="18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"/>
      <c r="AB6" s="1"/>
      <c r="AC6" s="20"/>
      <c r="AD6" s="1"/>
      <c r="AE6" s="1"/>
      <c r="AF6" s="1"/>
      <c r="AG6" s="1"/>
      <c r="AH6" s="13"/>
      <c r="AI6" s="13"/>
      <c r="AJ6" s="13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16"/>
      <c r="AX6" s="3"/>
      <c r="AY6" s="2"/>
      <c r="AZ6" s="2"/>
      <c r="BA6" s="22"/>
      <c r="BB6" s="2"/>
    </row>
    <row r="7" spans="1:66" ht="27" customHeight="1" x14ac:dyDescent="0.3">
      <c r="A7" s="23" t="s">
        <v>16</v>
      </c>
      <c r="B7" s="24" t="s">
        <v>17</v>
      </c>
      <c r="C7" s="24" t="s">
        <v>18</v>
      </c>
      <c r="D7" s="24" t="s">
        <v>19</v>
      </c>
      <c r="E7" s="25" t="s">
        <v>20</v>
      </c>
      <c r="F7" s="75">
        <v>1</v>
      </c>
      <c r="G7" s="75">
        <v>2</v>
      </c>
      <c r="H7" s="76">
        <v>3</v>
      </c>
      <c r="I7" s="77">
        <v>4</v>
      </c>
      <c r="J7" s="75">
        <v>5</v>
      </c>
      <c r="K7" s="77">
        <v>6</v>
      </c>
      <c r="L7" s="75">
        <v>7</v>
      </c>
      <c r="M7" s="75">
        <v>8</v>
      </c>
      <c r="N7" s="75">
        <v>9</v>
      </c>
      <c r="O7" s="76">
        <v>10</v>
      </c>
      <c r="P7" s="77">
        <v>11</v>
      </c>
      <c r="Q7" s="75">
        <v>12</v>
      </c>
      <c r="R7" s="75">
        <v>13</v>
      </c>
      <c r="S7" s="75">
        <v>14</v>
      </c>
      <c r="T7" s="75">
        <v>15</v>
      </c>
      <c r="U7" s="75">
        <v>16</v>
      </c>
      <c r="V7" s="76">
        <v>17</v>
      </c>
      <c r="W7" s="77">
        <v>18</v>
      </c>
      <c r="X7" s="75">
        <v>19</v>
      </c>
      <c r="Y7" s="75">
        <v>20</v>
      </c>
      <c r="Z7" s="75">
        <v>21</v>
      </c>
      <c r="AA7" s="75">
        <v>22</v>
      </c>
      <c r="AB7" s="75">
        <v>23</v>
      </c>
      <c r="AC7" s="76">
        <v>24</v>
      </c>
      <c r="AD7" s="77">
        <v>25</v>
      </c>
      <c r="AE7" s="75">
        <v>26</v>
      </c>
      <c r="AF7" s="75">
        <v>27</v>
      </c>
      <c r="AG7" s="75">
        <v>28</v>
      </c>
      <c r="AH7" s="75">
        <v>29</v>
      </c>
      <c r="AI7" s="75">
        <v>30</v>
      </c>
      <c r="AJ7" s="75"/>
      <c r="AL7" s="26" t="s">
        <v>21</v>
      </c>
      <c r="AM7" s="27" t="s">
        <v>9</v>
      </c>
      <c r="AN7" s="28" t="s">
        <v>22</v>
      </c>
      <c r="AO7" s="28" t="s">
        <v>23</v>
      </c>
      <c r="AP7" s="28" t="s">
        <v>24</v>
      </c>
      <c r="AQ7" s="29" t="s">
        <v>25</v>
      </c>
      <c r="AR7" s="55" t="s">
        <v>26</v>
      </c>
      <c r="AS7" s="56" t="s">
        <v>27</v>
      </c>
      <c r="AT7" s="57" t="s">
        <v>28</v>
      </c>
      <c r="AU7" s="30" t="s">
        <v>29</v>
      </c>
      <c r="AV7" s="31" t="s">
        <v>30</v>
      </c>
      <c r="AW7" s="31" t="s">
        <v>31</v>
      </c>
      <c r="AX7" s="31" t="s">
        <v>32</v>
      </c>
      <c r="AY7" s="31" t="s">
        <v>33</v>
      </c>
      <c r="AZ7" s="32" t="s">
        <v>34</v>
      </c>
      <c r="BA7" s="33" t="s">
        <v>35</v>
      </c>
      <c r="BB7" s="34" t="s">
        <v>36</v>
      </c>
      <c r="BC7" s="67" t="s">
        <v>39</v>
      </c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 spans="1:66" ht="27" customHeight="1" x14ac:dyDescent="0.3">
      <c r="A8" s="35">
        <v>1</v>
      </c>
      <c r="B8" s="36" t="s">
        <v>41</v>
      </c>
      <c r="C8" s="71" t="s">
        <v>42</v>
      </c>
      <c r="D8" s="58" t="s">
        <v>67</v>
      </c>
      <c r="E8" s="72" t="s">
        <v>43</v>
      </c>
      <c r="F8" s="74" t="s">
        <v>53</v>
      </c>
      <c r="G8" s="74" t="s">
        <v>54</v>
      </c>
      <c r="H8" s="74" t="s">
        <v>53</v>
      </c>
      <c r="I8" s="74" t="s">
        <v>52</v>
      </c>
      <c r="J8" s="74" t="s">
        <v>53</v>
      </c>
      <c r="K8" s="74" t="s">
        <v>66</v>
      </c>
      <c r="L8" s="74" t="s">
        <v>53</v>
      </c>
      <c r="M8" s="74" t="s">
        <v>53</v>
      </c>
      <c r="N8" s="74" t="s">
        <v>53</v>
      </c>
      <c r="O8" s="74" t="s">
        <v>55</v>
      </c>
      <c r="P8" s="74" t="s">
        <v>52</v>
      </c>
      <c r="Q8" s="74" t="s">
        <v>53</v>
      </c>
      <c r="R8" s="74" t="s">
        <v>56</v>
      </c>
      <c r="S8" s="74" t="s">
        <v>53</v>
      </c>
      <c r="T8" s="74" t="s">
        <v>53</v>
      </c>
      <c r="U8" s="74" t="s">
        <v>57</v>
      </c>
      <c r="V8" s="74" t="s">
        <v>53</v>
      </c>
      <c r="W8" s="74" t="s">
        <v>52</v>
      </c>
      <c r="X8" s="74" t="s">
        <v>53</v>
      </c>
      <c r="Y8" s="74" t="s">
        <v>58</v>
      </c>
      <c r="Z8" s="74" t="s">
        <v>59</v>
      </c>
      <c r="AA8" s="74" t="s">
        <v>59</v>
      </c>
      <c r="AB8" s="74" t="s">
        <v>59</v>
      </c>
      <c r="AC8" s="79" t="s">
        <v>77</v>
      </c>
      <c r="AD8" s="74" t="s">
        <v>60</v>
      </c>
      <c r="AE8" s="74" t="s">
        <v>61</v>
      </c>
      <c r="AF8" s="74" t="s">
        <v>58</v>
      </c>
      <c r="AG8" s="74" t="s">
        <v>58</v>
      </c>
      <c r="AH8" s="74" t="s">
        <v>53</v>
      </c>
      <c r="AI8" s="74" t="s">
        <v>53</v>
      </c>
      <c r="AJ8" s="51"/>
      <c r="AL8" s="37"/>
      <c r="AM8" s="38">
        <f t="shared" ref="AM8:AM37" si="0">COUNTIF(F8:AJ8,"주")</f>
        <v>0</v>
      </c>
      <c r="AN8" s="39">
        <f t="shared" ref="AN8:AN37" si="1">COUNTIF(F8:AJ8,"A")</f>
        <v>14</v>
      </c>
      <c r="AO8" s="39">
        <f t="shared" ref="AO8:AO37" si="2">COUNTIF(F8:AJ8,"B")</f>
        <v>0</v>
      </c>
      <c r="AP8" s="39">
        <f t="shared" ref="AP8:AP37" si="3">COUNTIF(F8:AJ8,"C")</f>
        <v>1</v>
      </c>
      <c r="AQ8" s="40">
        <f t="shared" ref="AQ8:AQ37" si="4">COUNTIF(F8:AJ8,"D")</f>
        <v>0</v>
      </c>
      <c r="AR8" s="41">
        <f t="shared" ref="AR8:AR37" si="5">+SUM(AN8:AQ8)</f>
        <v>15</v>
      </c>
      <c r="AS8" s="42">
        <f t="shared" ref="AS8:AS37" si="6">MAX(SUM(AO8:AO8)-AL8,0)</f>
        <v>0</v>
      </c>
      <c r="AT8" s="43">
        <f t="shared" ref="AT8:AT37" si="7">+SUM(AM8:AO8)</f>
        <v>14</v>
      </c>
      <c r="AU8" s="44">
        <f t="shared" ref="AU8:AU37" si="8">COUNTIF(F8:AJ8,"휴")</f>
        <v>5</v>
      </c>
      <c r="AV8" s="39">
        <f t="shared" ref="AV8:AV37" si="9">COUNTIF(F8:AJ8,"대")</f>
        <v>3</v>
      </c>
      <c r="AW8" s="39">
        <f t="shared" ref="AW8:AW37" si="10">COUNTIF(F8:AJ8,"연")</f>
        <v>0</v>
      </c>
      <c r="AX8" s="39">
        <f t="shared" ref="AX8:AX37" si="11">COUNTIF(F8:AJ8,"경")</f>
        <v>0</v>
      </c>
      <c r="AY8" s="39">
        <f t="shared" ref="AY8:AY37" si="12">COUNTIF(F8:AJ8,"코")</f>
        <v>0</v>
      </c>
      <c r="AZ8" s="45">
        <f t="shared" ref="AZ8:AZ37" si="13">COUNTIF(F8:AJ8,"공")</f>
        <v>7</v>
      </c>
      <c r="BA8" s="46">
        <f t="shared" ref="BA8:BA37" si="14">+SUM(AU8:AZ8)</f>
        <v>15</v>
      </c>
      <c r="BB8" s="47">
        <f t="shared" ref="BB8:BB37" si="15">+AT8+BA8</f>
        <v>29</v>
      </c>
      <c r="BC8" s="68" t="s">
        <v>50</v>
      </c>
    </row>
    <row r="9" spans="1:66" ht="27" customHeight="1" x14ac:dyDescent="0.3">
      <c r="A9" s="35">
        <v>2</v>
      </c>
      <c r="B9" s="36" t="s">
        <v>41</v>
      </c>
      <c r="C9" s="71" t="s">
        <v>42</v>
      </c>
      <c r="D9" s="53" t="s">
        <v>68</v>
      </c>
      <c r="E9" s="73" t="s">
        <v>44</v>
      </c>
      <c r="F9" s="50" t="s">
        <v>61</v>
      </c>
      <c r="G9" s="50" t="s">
        <v>62</v>
      </c>
      <c r="H9" s="50" t="s">
        <v>62</v>
      </c>
      <c r="I9" s="50" t="s">
        <v>52</v>
      </c>
      <c r="J9" s="50" t="s">
        <v>63</v>
      </c>
      <c r="K9" s="50" t="s">
        <v>55</v>
      </c>
      <c r="L9" s="50" t="s">
        <v>54</v>
      </c>
      <c r="M9" s="50" t="s">
        <v>63</v>
      </c>
      <c r="N9" s="50" t="s">
        <v>62</v>
      </c>
      <c r="O9" s="50" t="s">
        <v>62</v>
      </c>
      <c r="P9" s="50" t="s">
        <v>52</v>
      </c>
      <c r="Q9" s="50" t="s">
        <v>63</v>
      </c>
      <c r="R9" s="50" t="s">
        <v>61</v>
      </c>
      <c r="S9" s="50" t="s">
        <v>63</v>
      </c>
      <c r="T9" s="50" t="s">
        <v>62</v>
      </c>
      <c r="U9" s="50" t="s">
        <v>63</v>
      </c>
      <c r="V9" s="50" t="s">
        <v>60</v>
      </c>
      <c r="W9" s="50" t="s">
        <v>65</v>
      </c>
      <c r="X9" s="50" t="s">
        <v>61</v>
      </c>
      <c r="Y9" s="50" t="s">
        <v>63</v>
      </c>
      <c r="Z9" s="50" t="s">
        <v>63</v>
      </c>
      <c r="AA9" s="50" t="s">
        <v>63</v>
      </c>
      <c r="AB9" s="50" t="s">
        <v>63</v>
      </c>
      <c r="AC9" s="50" t="s">
        <v>63</v>
      </c>
      <c r="AD9" s="50" t="s">
        <v>60</v>
      </c>
      <c r="AE9" s="50" t="s">
        <v>63</v>
      </c>
      <c r="AF9" s="50" t="s">
        <v>62</v>
      </c>
      <c r="AG9" s="50" t="s">
        <v>62</v>
      </c>
      <c r="AH9" s="50" t="s">
        <v>62</v>
      </c>
      <c r="AI9" s="50" t="s">
        <v>63</v>
      </c>
      <c r="AJ9" s="51"/>
      <c r="AL9" s="37">
        <v>18</v>
      </c>
      <c r="AM9" s="38">
        <f t="shared" si="0"/>
        <v>0</v>
      </c>
      <c r="AN9" s="39">
        <f t="shared" si="1"/>
        <v>0</v>
      </c>
      <c r="AO9" s="39">
        <f t="shared" si="2"/>
        <v>20</v>
      </c>
      <c r="AP9" s="39">
        <f t="shared" si="3"/>
        <v>0</v>
      </c>
      <c r="AQ9" s="40">
        <f t="shared" si="4"/>
        <v>1</v>
      </c>
      <c r="AR9" s="41">
        <f t="shared" si="5"/>
        <v>21</v>
      </c>
      <c r="AS9" s="42">
        <f t="shared" si="6"/>
        <v>2</v>
      </c>
      <c r="AT9" s="43">
        <f t="shared" si="7"/>
        <v>20</v>
      </c>
      <c r="AU9" s="44">
        <f t="shared" si="8"/>
        <v>5</v>
      </c>
      <c r="AV9" s="39">
        <f t="shared" si="9"/>
        <v>4</v>
      </c>
      <c r="AW9" s="39">
        <f t="shared" si="10"/>
        <v>0</v>
      </c>
      <c r="AX9" s="39">
        <f t="shared" si="11"/>
        <v>0</v>
      </c>
      <c r="AY9" s="39">
        <f t="shared" si="12"/>
        <v>0</v>
      </c>
      <c r="AZ9" s="45">
        <f t="shared" si="13"/>
        <v>0</v>
      </c>
      <c r="BA9" s="46">
        <f t="shared" si="14"/>
        <v>9</v>
      </c>
      <c r="BB9" s="47">
        <f t="shared" si="15"/>
        <v>29</v>
      </c>
      <c r="BC9" s="69"/>
    </row>
    <row r="10" spans="1:66" ht="27" customHeight="1" x14ac:dyDescent="0.3">
      <c r="A10" s="35">
        <v>3</v>
      </c>
      <c r="B10" s="36" t="s">
        <v>41</v>
      </c>
      <c r="C10" s="71" t="s">
        <v>42</v>
      </c>
      <c r="D10" s="53" t="s">
        <v>69</v>
      </c>
      <c r="E10" s="73" t="s">
        <v>45</v>
      </c>
      <c r="F10" s="78" t="s">
        <v>75</v>
      </c>
      <c r="G10" s="78" t="s">
        <v>75</v>
      </c>
      <c r="H10" s="50" t="s">
        <v>76</v>
      </c>
      <c r="I10" s="78" t="s">
        <v>75</v>
      </c>
      <c r="J10" s="50" t="s">
        <v>64</v>
      </c>
      <c r="K10" s="50" t="s">
        <v>52</v>
      </c>
      <c r="L10" s="50" t="s">
        <v>63</v>
      </c>
      <c r="M10" s="50" t="s">
        <v>55</v>
      </c>
      <c r="N10" s="50" t="s">
        <v>63</v>
      </c>
      <c r="O10" s="50" t="s">
        <v>63</v>
      </c>
      <c r="P10" s="50" t="s">
        <v>52</v>
      </c>
      <c r="Q10" s="50" t="s">
        <v>62</v>
      </c>
      <c r="R10" s="50" t="s">
        <v>63</v>
      </c>
      <c r="S10" s="50" t="s">
        <v>60</v>
      </c>
      <c r="T10" s="50" t="s">
        <v>60</v>
      </c>
      <c r="U10" s="50" t="s">
        <v>61</v>
      </c>
      <c r="V10" s="50" t="s">
        <v>60</v>
      </c>
      <c r="W10" s="50" t="s">
        <v>65</v>
      </c>
      <c r="X10" s="50" t="s">
        <v>62</v>
      </c>
      <c r="Y10" s="50" t="s">
        <v>63</v>
      </c>
      <c r="Z10" s="50" t="s">
        <v>63</v>
      </c>
      <c r="AA10" s="50" t="s">
        <v>63</v>
      </c>
      <c r="AB10" s="50" t="s">
        <v>61</v>
      </c>
      <c r="AC10" s="50" t="s">
        <v>62</v>
      </c>
      <c r="AD10" s="50" t="s">
        <v>52</v>
      </c>
      <c r="AE10" s="50" t="s">
        <v>63</v>
      </c>
      <c r="AF10" s="50" t="s">
        <v>63</v>
      </c>
      <c r="AG10" s="50" t="s">
        <v>63</v>
      </c>
      <c r="AH10" s="50" t="s">
        <v>60</v>
      </c>
      <c r="AI10" s="50" t="s">
        <v>62</v>
      </c>
      <c r="AJ10" s="51"/>
      <c r="AL10" s="37">
        <v>18</v>
      </c>
      <c r="AM10" s="38">
        <f t="shared" si="0"/>
        <v>3</v>
      </c>
      <c r="AN10" s="39">
        <f t="shared" si="1"/>
        <v>0</v>
      </c>
      <c r="AO10" s="39">
        <f t="shared" si="2"/>
        <v>14</v>
      </c>
      <c r="AP10" s="39">
        <f t="shared" si="3"/>
        <v>0</v>
      </c>
      <c r="AQ10" s="40">
        <f t="shared" si="4"/>
        <v>1</v>
      </c>
      <c r="AR10" s="41">
        <f t="shared" si="5"/>
        <v>15</v>
      </c>
      <c r="AS10" s="42">
        <f t="shared" si="6"/>
        <v>0</v>
      </c>
      <c r="AT10" s="43">
        <f t="shared" si="7"/>
        <v>17</v>
      </c>
      <c r="AU10" s="44">
        <f t="shared" si="8"/>
        <v>10</v>
      </c>
      <c r="AV10" s="39">
        <f t="shared" si="9"/>
        <v>2</v>
      </c>
      <c r="AW10" s="39">
        <f t="shared" si="10"/>
        <v>0</v>
      </c>
      <c r="AX10" s="39">
        <f t="shared" si="11"/>
        <v>0</v>
      </c>
      <c r="AY10" s="39">
        <f t="shared" si="12"/>
        <v>0</v>
      </c>
      <c r="AZ10" s="45">
        <f t="shared" si="13"/>
        <v>0</v>
      </c>
      <c r="BA10" s="46">
        <f t="shared" si="14"/>
        <v>12</v>
      </c>
      <c r="BB10" s="47">
        <f t="shared" si="15"/>
        <v>29</v>
      </c>
      <c r="BC10" s="69"/>
    </row>
    <row r="11" spans="1:66" ht="27" customHeight="1" x14ac:dyDescent="0.3">
      <c r="A11" s="35">
        <v>4</v>
      </c>
      <c r="B11" s="36" t="s">
        <v>41</v>
      </c>
      <c r="C11" s="71" t="s">
        <v>42</v>
      </c>
      <c r="D11" s="53" t="s">
        <v>70</v>
      </c>
      <c r="E11" s="73" t="s">
        <v>46</v>
      </c>
      <c r="F11" s="50" t="s">
        <v>63</v>
      </c>
      <c r="G11" s="50" t="s">
        <v>54</v>
      </c>
      <c r="H11" s="50" t="s">
        <v>60</v>
      </c>
      <c r="I11" s="50" t="s">
        <v>65</v>
      </c>
      <c r="J11" s="50" t="s">
        <v>63</v>
      </c>
      <c r="K11" s="50" t="s">
        <v>65</v>
      </c>
      <c r="L11" s="50" t="s">
        <v>63</v>
      </c>
      <c r="M11" s="50" t="s">
        <v>61</v>
      </c>
      <c r="N11" s="50" t="s">
        <v>60</v>
      </c>
      <c r="O11" s="50" t="s">
        <v>60</v>
      </c>
      <c r="P11" s="50" t="s">
        <v>65</v>
      </c>
      <c r="Q11" s="50" t="s">
        <v>63</v>
      </c>
      <c r="R11" s="50" t="s">
        <v>63</v>
      </c>
      <c r="S11" s="50" t="s">
        <v>61</v>
      </c>
      <c r="T11" s="50" t="s">
        <v>63</v>
      </c>
      <c r="U11" s="50" t="s">
        <v>63</v>
      </c>
      <c r="V11" s="50" t="s">
        <v>60</v>
      </c>
      <c r="W11" s="50" t="s">
        <v>60</v>
      </c>
      <c r="X11" s="50" t="s">
        <v>63</v>
      </c>
      <c r="Y11" s="50" t="s">
        <v>63</v>
      </c>
      <c r="Z11" s="50" t="s">
        <v>63</v>
      </c>
      <c r="AA11" s="50" t="s">
        <v>63</v>
      </c>
      <c r="AB11" s="50" t="s">
        <v>63</v>
      </c>
      <c r="AC11" s="50" t="s">
        <v>60</v>
      </c>
      <c r="AD11" s="50" t="s">
        <v>65</v>
      </c>
      <c r="AE11" s="50" t="s">
        <v>63</v>
      </c>
      <c r="AF11" s="50" t="s">
        <v>63</v>
      </c>
      <c r="AG11" s="50" t="s">
        <v>63</v>
      </c>
      <c r="AH11" s="50" t="s">
        <v>60</v>
      </c>
      <c r="AI11" s="50" t="s">
        <v>63</v>
      </c>
      <c r="AJ11" s="51"/>
      <c r="AL11" s="37">
        <v>18</v>
      </c>
      <c r="AM11" s="38">
        <f t="shared" si="0"/>
        <v>0</v>
      </c>
      <c r="AN11" s="39">
        <f t="shared" si="1"/>
        <v>0</v>
      </c>
      <c r="AO11" s="39">
        <f t="shared" si="2"/>
        <v>16</v>
      </c>
      <c r="AP11" s="39">
        <f t="shared" si="3"/>
        <v>0</v>
      </c>
      <c r="AQ11" s="40">
        <f t="shared" si="4"/>
        <v>4</v>
      </c>
      <c r="AR11" s="41">
        <f t="shared" si="5"/>
        <v>20</v>
      </c>
      <c r="AS11" s="42">
        <f t="shared" si="6"/>
        <v>0</v>
      </c>
      <c r="AT11" s="43">
        <f t="shared" si="7"/>
        <v>16</v>
      </c>
      <c r="AU11" s="44">
        <f t="shared" si="8"/>
        <v>7</v>
      </c>
      <c r="AV11" s="39">
        <f t="shared" si="9"/>
        <v>3</v>
      </c>
      <c r="AW11" s="39">
        <f t="shared" si="10"/>
        <v>0</v>
      </c>
      <c r="AX11" s="39">
        <f t="shared" si="11"/>
        <v>0</v>
      </c>
      <c r="AY11" s="39">
        <f t="shared" si="12"/>
        <v>0</v>
      </c>
      <c r="AZ11" s="45">
        <f t="shared" si="13"/>
        <v>0</v>
      </c>
      <c r="BA11" s="46">
        <f t="shared" si="14"/>
        <v>10</v>
      </c>
      <c r="BB11" s="47">
        <f t="shared" si="15"/>
        <v>26</v>
      </c>
      <c r="BC11" s="69"/>
    </row>
    <row r="12" spans="1:66" ht="27" customHeight="1" x14ac:dyDescent="0.3">
      <c r="A12" s="35">
        <v>5</v>
      </c>
      <c r="B12" s="36" t="s">
        <v>41</v>
      </c>
      <c r="C12" s="71" t="s">
        <v>42</v>
      </c>
      <c r="D12" s="53" t="s">
        <v>71</v>
      </c>
      <c r="E12" s="73" t="s">
        <v>47</v>
      </c>
      <c r="F12" s="50" t="s">
        <v>63</v>
      </c>
      <c r="G12" s="50" t="s">
        <v>63</v>
      </c>
      <c r="H12" s="50" t="s">
        <v>60</v>
      </c>
      <c r="I12" s="50" t="s">
        <v>52</v>
      </c>
      <c r="J12" s="50" t="s">
        <v>63</v>
      </c>
      <c r="K12" s="50" t="s">
        <v>52</v>
      </c>
      <c r="L12" s="50" t="s">
        <v>63</v>
      </c>
      <c r="M12" s="50" t="s">
        <v>63</v>
      </c>
      <c r="N12" s="50" t="s">
        <v>61</v>
      </c>
      <c r="O12" s="50" t="s">
        <v>60</v>
      </c>
      <c r="P12" s="50" t="s">
        <v>65</v>
      </c>
      <c r="Q12" s="50" t="s">
        <v>60</v>
      </c>
      <c r="R12" s="50" t="s">
        <v>54</v>
      </c>
      <c r="S12" s="50" t="s">
        <v>63</v>
      </c>
      <c r="T12" s="50" t="s">
        <v>63</v>
      </c>
      <c r="U12" s="50" t="s">
        <v>63</v>
      </c>
      <c r="V12" s="50" t="s">
        <v>63</v>
      </c>
      <c r="W12" s="50" t="s">
        <v>52</v>
      </c>
      <c r="X12" s="50" t="s">
        <v>63</v>
      </c>
      <c r="Y12" s="50" t="s">
        <v>63</v>
      </c>
      <c r="Z12" s="50" t="s">
        <v>63</v>
      </c>
      <c r="AA12" s="50" t="s">
        <v>61</v>
      </c>
      <c r="AB12" s="50" t="s">
        <v>63</v>
      </c>
      <c r="AC12" s="50" t="s">
        <v>63</v>
      </c>
      <c r="AD12" s="50" t="s">
        <v>65</v>
      </c>
      <c r="AE12" s="50" t="s">
        <v>63</v>
      </c>
      <c r="AF12" s="50" t="s">
        <v>63</v>
      </c>
      <c r="AG12" s="50" t="s">
        <v>61</v>
      </c>
      <c r="AH12" s="50" t="s">
        <v>63</v>
      </c>
      <c r="AI12" s="50" t="s">
        <v>60</v>
      </c>
      <c r="AJ12" s="51"/>
      <c r="AL12" s="37">
        <v>18</v>
      </c>
      <c r="AM12" s="38">
        <f t="shared" si="0"/>
        <v>0</v>
      </c>
      <c r="AN12" s="39">
        <f t="shared" si="1"/>
        <v>0</v>
      </c>
      <c r="AO12" s="39">
        <f t="shared" si="2"/>
        <v>17</v>
      </c>
      <c r="AP12" s="39">
        <f t="shared" si="3"/>
        <v>0</v>
      </c>
      <c r="AQ12" s="40">
        <f t="shared" si="4"/>
        <v>2</v>
      </c>
      <c r="AR12" s="41">
        <f t="shared" si="5"/>
        <v>19</v>
      </c>
      <c r="AS12" s="42">
        <f t="shared" si="6"/>
        <v>0</v>
      </c>
      <c r="AT12" s="43">
        <f t="shared" si="7"/>
        <v>17</v>
      </c>
      <c r="AU12" s="44">
        <f t="shared" si="8"/>
        <v>7</v>
      </c>
      <c r="AV12" s="39">
        <f t="shared" si="9"/>
        <v>4</v>
      </c>
      <c r="AW12" s="39">
        <f t="shared" si="10"/>
        <v>0</v>
      </c>
      <c r="AX12" s="39">
        <f t="shared" si="11"/>
        <v>0</v>
      </c>
      <c r="AY12" s="39">
        <f t="shared" si="12"/>
        <v>0</v>
      </c>
      <c r="AZ12" s="45">
        <f t="shared" si="13"/>
        <v>0</v>
      </c>
      <c r="BA12" s="46">
        <f t="shared" si="14"/>
        <v>11</v>
      </c>
      <c r="BB12" s="47">
        <f t="shared" si="15"/>
        <v>28</v>
      </c>
      <c r="BC12" s="69"/>
    </row>
    <row r="13" spans="1:66" ht="27" customHeight="1" x14ac:dyDescent="0.3">
      <c r="A13" s="35">
        <v>6</v>
      </c>
      <c r="B13" s="36" t="s">
        <v>41</v>
      </c>
      <c r="C13" s="71" t="s">
        <v>42</v>
      </c>
      <c r="D13" s="53" t="s">
        <v>72</v>
      </c>
      <c r="E13" s="73" t="s">
        <v>48</v>
      </c>
      <c r="F13" s="50" t="s">
        <v>61</v>
      </c>
      <c r="G13" s="50" t="s">
        <v>63</v>
      </c>
      <c r="H13" s="50" t="s">
        <v>63</v>
      </c>
      <c r="I13" s="50" t="s">
        <v>65</v>
      </c>
      <c r="J13" s="50" t="s">
        <v>63</v>
      </c>
      <c r="K13" s="50" t="s">
        <v>52</v>
      </c>
      <c r="L13" s="50" t="s">
        <v>63</v>
      </c>
      <c r="M13" s="50" t="s">
        <v>63</v>
      </c>
      <c r="N13" s="50" t="s">
        <v>63</v>
      </c>
      <c r="O13" s="50" t="s">
        <v>62</v>
      </c>
      <c r="P13" s="50" t="s">
        <v>52</v>
      </c>
      <c r="Q13" s="50" t="s">
        <v>63</v>
      </c>
      <c r="R13" s="50" t="s">
        <v>62</v>
      </c>
      <c r="S13" s="50" t="s">
        <v>63</v>
      </c>
      <c r="T13" s="50" t="s">
        <v>61</v>
      </c>
      <c r="U13" s="50" t="s">
        <v>63</v>
      </c>
      <c r="V13" s="50" t="s">
        <v>62</v>
      </c>
      <c r="W13" s="50" t="s">
        <v>52</v>
      </c>
      <c r="X13" s="50" t="s">
        <v>63</v>
      </c>
      <c r="Y13" s="50" t="s">
        <v>61</v>
      </c>
      <c r="Z13" s="50" t="s">
        <v>60</v>
      </c>
      <c r="AA13" s="50" t="s">
        <v>63</v>
      </c>
      <c r="AB13" s="50" t="s">
        <v>63</v>
      </c>
      <c r="AC13" s="50" t="s">
        <v>60</v>
      </c>
      <c r="AD13" s="50" t="s">
        <v>52</v>
      </c>
      <c r="AE13" s="50" t="s">
        <v>63</v>
      </c>
      <c r="AF13" s="50" t="s">
        <v>60</v>
      </c>
      <c r="AG13" s="50" t="s">
        <v>63</v>
      </c>
      <c r="AH13" s="50" t="s">
        <v>63</v>
      </c>
      <c r="AI13" s="50" t="s">
        <v>60</v>
      </c>
      <c r="AJ13" s="51"/>
      <c r="AL13" s="37">
        <v>18</v>
      </c>
      <c r="AM13" s="38">
        <f t="shared" si="0"/>
        <v>0</v>
      </c>
      <c r="AN13" s="39">
        <f t="shared" si="1"/>
        <v>0</v>
      </c>
      <c r="AO13" s="39">
        <f t="shared" si="2"/>
        <v>18</v>
      </c>
      <c r="AP13" s="39">
        <f t="shared" si="3"/>
        <v>0</v>
      </c>
      <c r="AQ13" s="40">
        <f t="shared" si="4"/>
        <v>1</v>
      </c>
      <c r="AR13" s="41">
        <f t="shared" si="5"/>
        <v>19</v>
      </c>
      <c r="AS13" s="42">
        <f t="shared" si="6"/>
        <v>0</v>
      </c>
      <c r="AT13" s="43">
        <f t="shared" si="7"/>
        <v>18</v>
      </c>
      <c r="AU13" s="44">
        <f t="shared" si="8"/>
        <v>8</v>
      </c>
      <c r="AV13" s="39">
        <f t="shared" si="9"/>
        <v>3</v>
      </c>
      <c r="AW13" s="39">
        <f t="shared" si="10"/>
        <v>0</v>
      </c>
      <c r="AX13" s="39">
        <f t="shared" si="11"/>
        <v>0</v>
      </c>
      <c r="AY13" s="39">
        <f t="shared" si="12"/>
        <v>0</v>
      </c>
      <c r="AZ13" s="45">
        <f t="shared" si="13"/>
        <v>0</v>
      </c>
      <c r="BA13" s="46">
        <f t="shared" si="14"/>
        <v>11</v>
      </c>
      <c r="BB13" s="47">
        <f t="shared" si="15"/>
        <v>29</v>
      </c>
      <c r="BC13" s="69"/>
    </row>
    <row r="14" spans="1:66" ht="27" customHeight="1" x14ac:dyDescent="0.3">
      <c r="A14" s="35">
        <v>7</v>
      </c>
      <c r="B14" s="36" t="s">
        <v>41</v>
      </c>
      <c r="C14" s="71" t="s">
        <v>42</v>
      </c>
      <c r="D14" s="53" t="s">
        <v>73</v>
      </c>
      <c r="E14" s="73" t="s">
        <v>49</v>
      </c>
      <c r="F14" s="50" t="s">
        <v>62</v>
      </c>
      <c r="G14" s="50" t="s">
        <v>62</v>
      </c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1"/>
      <c r="AL14" s="37">
        <v>18</v>
      </c>
      <c r="AM14" s="38">
        <f t="shared" si="0"/>
        <v>0</v>
      </c>
      <c r="AN14" s="39">
        <f t="shared" si="1"/>
        <v>0</v>
      </c>
      <c r="AO14" s="39">
        <f t="shared" si="2"/>
        <v>2</v>
      </c>
      <c r="AP14" s="39">
        <f t="shared" si="3"/>
        <v>0</v>
      </c>
      <c r="AQ14" s="40">
        <f t="shared" si="4"/>
        <v>0</v>
      </c>
      <c r="AR14" s="41">
        <f t="shared" si="5"/>
        <v>2</v>
      </c>
      <c r="AS14" s="42">
        <f t="shared" si="6"/>
        <v>0</v>
      </c>
      <c r="AT14" s="43">
        <f t="shared" si="7"/>
        <v>2</v>
      </c>
      <c r="AU14" s="44">
        <f t="shared" si="8"/>
        <v>0</v>
      </c>
      <c r="AV14" s="39">
        <f t="shared" si="9"/>
        <v>0</v>
      </c>
      <c r="AW14" s="39">
        <f t="shared" si="10"/>
        <v>0</v>
      </c>
      <c r="AX14" s="39">
        <f t="shared" si="11"/>
        <v>0</v>
      </c>
      <c r="AY14" s="39">
        <f t="shared" si="12"/>
        <v>0</v>
      </c>
      <c r="AZ14" s="45">
        <f t="shared" si="13"/>
        <v>0</v>
      </c>
      <c r="BA14" s="46">
        <f t="shared" si="14"/>
        <v>0</v>
      </c>
      <c r="BB14" s="47">
        <f t="shared" si="15"/>
        <v>2</v>
      </c>
      <c r="BC14" s="69" t="s">
        <v>51</v>
      </c>
    </row>
    <row r="15" spans="1:66" ht="27" customHeight="1" x14ac:dyDescent="0.3">
      <c r="A15" s="35">
        <v>8</v>
      </c>
      <c r="B15" s="36"/>
      <c r="C15" s="71"/>
      <c r="D15" s="53"/>
      <c r="E15" s="73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1"/>
      <c r="AL15" s="37"/>
      <c r="AM15" s="38">
        <f t="shared" si="0"/>
        <v>0</v>
      </c>
      <c r="AN15" s="39">
        <f t="shared" si="1"/>
        <v>0</v>
      </c>
      <c r="AO15" s="39">
        <f t="shared" si="2"/>
        <v>0</v>
      </c>
      <c r="AP15" s="39">
        <f t="shared" si="3"/>
        <v>0</v>
      </c>
      <c r="AQ15" s="40">
        <f t="shared" si="4"/>
        <v>0</v>
      </c>
      <c r="AR15" s="41">
        <f t="shared" si="5"/>
        <v>0</v>
      </c>
      <c r="AS15" s="42">
        <f t="shared" si="6"/>
        <v>0</v>
      </c>
      <c r="AT15" s="43">
        <f t="shared" si="7"/>
        <v>0</v>
      </c>
      <c r="AU15" s="44">
        <f t="shared" si="8"/>
        <v>0</v>
      </c>
      <c r="AV15" s="39">
        <f t="shared" si="9"/>
        <v>0</v>
      </c>
      <c r="AW15" s="39">
        <f t="shared" si="10"/>
        <v>0</v>
      </c>
      <c r="AX15" s="39">
        <f t="shared" si="11"/>
        <v>0</v>
      </c>
      <c r="AY15" s="39">
        <f t="shared" si="12"/>
        <v>0</v>
      </c>
      <c r="AZ15" s="45">
        <f t="shared" si="13"/>
        <v>0</v>
      </c>
      <c r="BA15" s="46">
        <f t="shared" si="14"/>
        <v>0</v>
      </c>
      <c r="BB15" s="47">
        <f t="shared" si="15"/>
        <v>0</v>
      </c>
      <c r="BC15" s="69"/>
    </row>
    <row r="16" spans="1:66" ht="27" customHeight="1" x14ac:dyDescent="0.3">
      <c r="A16" s="35">
        <v>9</v>
      </c>
      <c r="B16" s="36"/>
      <c r="C16" s="71"/>
      <c r="D16" s="53"/>
      <c r="E16" s="73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1"/>
      <c r="AL16" s="37"/>
      <c r="AM16" s="38">
        <f t="shared" si="0"/>
        <v>0</v>
      </c>
      <c r="AN16" s="39">
        <f t="shared" si="1"/>
        <v>0</v>
      </c>
      <c r="AO16" s="39">
        <f t="shared" si="2"/>
        <v>0</v>
      </c>
      <c r="AP16" s="39">
        <f t="shared" si="3"/>
        <v>0</v>
      </c>
      <c r="AQ16" s="40">
        <f t="shared" si="4"/>
        <v>0</v>
      </c>
      <c r="AR16" s="41">
        <f t="shared" si="5"/>
        <v>0</v>
      </c>
      <c r="AS16" s="42">
        <f t="shared" si="6"/>
        <v>0</v>
      </c>
      <c r="AT16" s="43">
        <f t="shared" si="7"/>
        <v>0</v>
      </c>
      <c r="AU16" s="44">
        <f t="shared" si="8"/>
        <v>0</v>
      </c>
      <c r="AV16" s="39">
        <f t="shared" si="9"/>
        <v>0</v>
      </c>
      <c r="AW16" s="39">
        <f t="shared" si="10"/>
        <v>0</v>
      </c>
      <c r="AX16" s="39">
        <f t="shared" si="11"/>
        <v>0</v>
      </c>
      <c r="AY16" s="39">
        <f t="shared" si="12"/>
        <v>0</v>
      </c>
      <c r="AZ16" s="45">
        <f t="shared" si="13"/>
        <v>0</v>
      </c>
      <c r="BA16" s="46">
        <f t="shared" si="14"/>
        <v>0</v>
      </c>
      <c r="BB16" s="47">
        <f t="shared" si="15"/>
        <v>0</v>
      </c>
      <c r="BC16" s="69"/>
    </row>
    <row r="17" spans="1:67" ht="27" customHeight="1" x14ac:dyDescent="0.3">
      <c r="A17" s="35">
        <v>10</v>
      </c>
      <c r="B17" s="36"/>
      <c r="C17" s="71"/>
      <c r="D17" s="53"/>
      <c r="E17" s="73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1"/>
      <c r="AL17" s="37"/>
      <c r="AM17" s="38">
        <f t="shared" si="0"/>
        <v>0</v>
      </c>
      <c r="AN17" s="39">
        <f t="shared" si="1"/>
        <v>0</v>
      </c>
      <c r="AO17" s="39">
        <f t="shared" si="2"/>
        <v>0</v>
      </c>
      <c r="AP17" s="39">
        <f t="shared" si="3"/>
        <v>0</v>
      </c>
      <c r="AQ17" s="40">
        <f t="shared" si="4"/>
        <v>0</v>
      </c>
      <c r="AR17" s="41">
        <f t="shared" si="5"/>
        <v>0</v>
      </c>
      <c r="AS17" s="42">
        <f t="shared" si="6"/>
        <v>0</v>
      </c>
      <c r="AT17" s="43">
        <f t="shared" si="7"/>
        <v>0</v>
      </c>
      <c r="AU17" s="44">
        <f t="shared" si="8"/>
        <v>0</v>
      </c>
      <c r="AV17" s="39">
        <f t="shared" si="9"/>
        <v>0</v>
      </c>
      <c r="AW17" s="39">
        <f t="shared" si="10"/>
        <v>0</v>
      </c>
      <c r="AX17" s="39">
        <f t="shared" si="11"/>
        <v>0</v>
      </c>
      <c r="AY17" s="39">
        <f t="shared" si="12"/>
        <v>0</v>
      </c>
      <c r="AZ17" s="45">
        <f t="shared" si="13"/>
        <v>0</v>
      </c>
      <c r="BA17" s="46">
        <f t="shared" si="14"/>
        <v>0</v>
      </c>
      <c r="BB17" s="47">
        <f t="shared" si="15"/>
        <v>0</v>
      </c>
      <c r="BC17" s="69"/>
    </row>
    <row r="18" spans="1:67" ht="27" customHeight="1" x14ac:dyDescent="0.3">
      <c r="A18" s="35">
        <v>11</v>
      </c>
      <c r="B18" s="48"/>
      <c r="C18" s="52"/>
      <c r="D18" s="53"/>
      <c r="E18" s="49"/>
      <c r="F18" s="54"/>
      <c r="G18" s="50"/>
      <c r="H18" s="50"/>
      <c r="I18" s="50"/>
      <c r="J18" s="54"/>
      <c r="K18" s="50"/>
      <c r="L18" s="54"/>
      <c r="M18" s="50"/>
      <c r="N18" s="50"/>
      <c r="O18" s="50"/>
      <c r="P18" s="50"/>
      <c r="Q18" s="50"/>
      <c r="R18" s="50"/>
      <c r="S18" s="54"/>
      <c r="T18" s="50"/>
      <c r="U18" s="50"/>
      <c r="V18" s="50"/>
      <c r="W18" s="50"/>
      <c r="X18" s="50"/>
      <c r="Y18" s="50"/>
      <c r="Z18" s="54"/>
      <c r="AA18" s="50"/>
      <c r="AB18" s="50"/>
      <c r="AC18" s="50"/>
      <c r="AD18" s="50"/>
      <c r="AE18" s="50"/>
      <c r="AF18" s="54"/>
      <c r="AG18" s="54"/>
      <c r="AH18" s="54"/>
      <c r="AI18" s="50"/>
      <c r="AJ18" s="51"/>
      <c r="AL18" s="37"/>
      <c r="AM18" s="38">
        <f t="shared" si="0"/>
        <v>0</v>
      </c>
      <c r="AN18" s="39">
        <f t="shared" si="1"/>
        <v>0</v>
      </c>
      <c r="AO18" s="39">
        <f t="shared" si="2"/>
        <v>0</v>
      </c>
      <c r="AP18" s="39">
        <f t="shared" si="3"/>
        <v>0</v>
      </c>
      <c r="AQ18" s="40">
        <f t="shared" si="4"/>
        <v>0</v>
      </c>
      <c r="AR18" s="41">
        <f t="shared" si="5"/>
        <v>0</v>
      </c>
      <c r="AS18" s="42">
        <f t="shared" si="6"/>
        <v>0</v>
      </c>
      <c r="AT18" s="43">
        <f t="shared" si="7"/>
        <v>0</v>
      </c>
      <c r="AU18" s="44">
        <f t="shared" si="8"/>
        <v>0</v>
      </c>
      <c r="AV18" s="39">
        <f t="shared" si="9"/>
        <v>0</v>
      </c>
      <c r="AW18" s="39">
        <f t="shared" si="10"/>
        <v>0</v>
      </c>
      <c r="AX18" s="39">
        <f t="shared" si="11"/>
        <v>0</v>
      </c>
      <c r="AY18" s="39">
        <f t="shared" si="12"/>
        <v>0</v>
      </c>
      <c r="AZ18" s="45">
        <f t="shared" si="13"/>
        <v>0</v>
      </c>
      <c r="BA18" s="46">
        <f t="shared" si="14"/>
        <v>0</v>
      </c>
      <c r="BB18" s="47">
        <f t="shared" si="15"/>
        <v>0</v>
      </c>
      <c r="BC18" s="69"/>
    </row>
    <row r="19" spans="1:67" ht="27" customHeight="1" x14ac:dyDescent="0.3">
      <c r="A19" s="35">
        <v>12</v>
      </c>
      <c r="B19" s="48"/>
      <c r="C19" s="52"/>
      <c r="D19" s="53"/>
      <c r="E19" s="49"/>
      <c r="F19" s="50"/>
      <c r="G19" s="50"/>
      <c r="H19" s="50"/>
      <c r="I19" s="50"/>
      <c r="J19" s="54"/>
      <c r="K19" s="50"/>
      <c r="L19" s="54"/>
      <c r="M19" s="50"/>
      <c r="N19" s="50"/>
      <c r="O19" s="50"/>
      <c r="P19" s="50"/>
      <c r="Q19" s="50"/>
      <c r="R19" s="50"/>
      <c r="S19" s="54"/>
      <c r="T19" s="50"/>
      <c r="U19" s="50"/>
      <c r="V19" s="50"/>
      <c r="W19" s="50"/>
      <c r="X19" s="50"/>
      <c r="Y19" s="50"/>
      <c r="Z19" s="54"/>
      <c r="AA19" s="50"/>
      <c r="AB19" s="50"/>
      <c r="AC19" s="50"/>
      <c r="AD19" s="50"/>
      <c r="AE19" s="50"/>
      <c r="AF19" s="54"/>
      <c r="AG19" s="54"/>
      <c r="AH19" s="54"/>
      <c r="AI19" s="50"/>
      <c r="AJ19" s="51"/>
      <c r="AL19" s="37"/>
      <c r="AM19" s="38">
        <f t="shared" si="0"/>
        <v>0</v>
      </c>
      <c r="AN19" s="39">
        <f t="shared" si="1"/>
        <v>0</v>
      </c>
      <c r="AO19" s="39">
        <f t="shared" si="2"/>
        <v>0</v>
      </c>
      <c r="AP19" s="39">
        <f t="shared" si="3"/>
        <v>0</v>
      </c>
      <c r="AQ19" s="40">
        <f t="shared" si="4"/>
        <v>0</v>
      </c>
      <c r="AR19" s="41">
        <f t="shared" si="5"/>
        <v>0</v>
      </c>
      <c r="AS19" s="42">
        <f t="shared" si="6"/>
        <v>0</v>
      </c>
      <c r="AT19" s="43">
        <f t="shared" si="7"/>
        <v>0</v>
      </c>
      <c r="AU19" s="44">
        <f t="shared" si="8"/>
        <v>0</v>
      </c>
      <c r="AV19" s="39">
        <f t="shared" si="9"/>
        <v>0</v>
      </c>
      <c r="AW19" s="39">
        <f t="shared" si="10"/>
        <v>0</v>
      </c>
      <c r="AX19" s="39">
        <f t="shared" si="11"/>
        <v>0</v>
      </c>
      <c r="AY19" s="39">
        <f t="shared" si="12"/>
        <v>0</v>
      </c>
      <c r="AZ19" s="45">
        <f t="shared" si="13"/>
        <v>0</v>
      </c>
      <c r="BA19" s="46">
        <f t="shared" si="14"/>
        <v>0</v>
      </c>
      <c r="BB19" s="47">
        <f t="shared" si="15"/>
        <v>0</v>
      </c>
      <c r="BC19" s="69"/>
    </row>
    <row r="20" spans="1:67" ht="27" customHeight="1" x14ac:dyDescent="0.3">
      <c r="A20" s="35">
        <v>13</v>
      </c>
      <c r="B20" s="48"/>
      <c r="C20" s="52"/>
      <c r="D20" s="53"/>
      <c r="E20" s="4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1"/>
      <c r="AL20" s="37"/>
      <c r="AM20" s="38">
        <f t="shared" si="0"/>
        <v>0</v>
      </c>
      <c r="AN20" s="39">
        <f t="shared" si="1"/>
        <v>0</v>
      </c>
      <c r="AO20" s="39">
        <f t="shared" si="2"/>
        <v>0</v>
      </c>
      <c r="AP20" s="39">
        <f t="shared" si="3"/>
        <v>0</v>
      </c>
      <c r="AQ20" s="40">
        <f t="shared" si="4"/>
        <v>0</v>
      </c>
      <c r="AR20" s="41">
        <f t="shared" si="5"/>
        <v>0</v>
      </c>
      <c r="AS20" s="42">
        <f t="shared" si="6"/>
        <v>0</v>
      </c>
      <c r="AT20" s="43">
        <f t="shared" si="7"/>
        <v>0</v>
      </c>
      <c r="AU20" s="44">
        <f t="shared" si="8"/>
        <v>0</v>
      </c>
      <c r="AV20" s="39">
        <f t="shared" si="9"/>
        <v>0</v>
      </c>
      <c r="AW20" s="39">
        <f t="shared" si="10"/>
        <v>0</v>
      </c>
      <c r="AX20" s="39">
        <f t="shared" si="11"/>
        <v>0</v>
      </c>
      <c r="AY20" s="39">
        <f t="shared" si="12"/>
        <v>0</v>
      </c>
      <c r="AZ20" s="45">
        <f t="shared" si="13"/>
        <v>0</v>
      </c>
      <c r="BA20" s="46">
        <f t="shared" si="14"/>
        <v>0</v>
      </c>
      <c r="BB20" s="47">
        <f t="shared" si="15"/>
        <v>0</v>
      </c>
      <c r="BC20" s="69"/>
    </row>
    <row r="21" spans="1:67" ht="27" customHeight="1" x14ac:dyDescent="0.3">
      <c r="A21" s="35">
        <v>14</v>
      </c>
      <c r="B21" s="48"/>
      <c r="C21" s="52"/>
      <c r="D21" s="53"/>
      <c r="E21" s="49"/>
      <c r="F21" s="54"/>
      <c r="G21" s="50"/>
      <c r="H21" s="50"/>
      <c r="I21" s="50"/>
      <c r="J21" s="54"/>
      <c r="K21" s="50"/>
      <c r="L21" s="54"/>
      <c r="M21" s="50"/>
      <c r="N21" s="50"/>
      <c r="O21" s="50"/>
      <c r="P21" s="50"/>
      <c r="Q21" s="50"/>
      <c r="R21" s="50"/>
      <c r="S21" s="54"/>
      <c r="T21" s="50"/>
      <c r="U21" s="50"/>
      <c r="V21" s="50"/>
      <c r="W21" s="50"/>
      <c r="X21" s="50"/>
      <c r="Y21" s="50"/>
      <c r="Z21" s="54"/>
      <c r="AA21" s="50"/>
      <c r="AB21" s="50"/>
      <c r="AC21" s="50"/>
      <c r="AD21" s="50"/>
      <c r="AE21" s="50"/>
      <c r="AF21" s="54"/>
      <c r="AG21" s="54"/>
      <c r="AH21" s="54"/>
      <c r="AI21" s="50"/>
      <c r="AJ21" s="51"/>
      <c r="AL21" s="37"/>
      <c r="AM21" s="38">
        <f t="shared" si="0"/>
        <v>0</v>
      </c>
      <c r="AN21" s="39">
        <f t="shared" si="1"/>
        <v>0</v>
      </c>
      <c r="AO21" s="39">
        <f t="shared" si="2"/>
        <v>0</v>
      </c>
      <c r="AP21" s="39">
        <f t="shared" si="3"/>
        <v>0</v>
      </c>
      <c r="AQ21" s="40">
        <f t="shared" si="4"/>
        <v>0</v>
      </c>
      <c r="AR21" s="41">
        <f t="shared" si="5"/>
        <v>0</v>
      </c>
      <c r="AS21" s="42">
        <f t="shared" si="6"/>
        <v>0</v>
      </c>
      <c r="AT21" s="43">
        <f t="shared" si="7"/>
        <v>0</v>
      </c>
      <c r="AU21" s="44">
        <f t="shared" si="8"/>
        <v>0</v>
      </c>
      <c r="AV21" s="39">
        <f t="shared" si="9"/>
        <v>0</v>
      </c>
      <c r="AW21" s="39">
        <f t="shared" si="10"/>
        <v>0</v>
      </c>
      <c r="AX21" s="39">
        <f t="shared" si="11"/>
        <v>0</v>
      </c>
      <c r="AY21" s="39">
        <f t="shared" si="12"/>
        <v>0</v>
      </c>
      <c r="AZ21" s="45">
        <f t="shared" si="13"/>
        <v>0</v>
      </c>
      <c r="BA21" s="46">
        <f t="shared" si="14"/>
        <v>0</v>
      </c>
      <c r="BB21" s="47">
        <f t="shared" si="15"/>
        <v>0</v>
      </c>
      <c r="BC21" s="69"/>
    </row>
    <row r="22" spans="1:67" ht="27" customHeight="1" x14ac:dyDescent="0.3">
      <c r="A22" s="35">
        <v>15</v>
      </c>
      <c r="B22" s="48"/>
      <c r="C22" s="52"/>
      <c r="D22" s="53"/>
      <c r="E22" s="49"/>
      <c r="F22" s="54"/>
      <c r="G22" s="50"/>
      <c r="H22" s="50"/>
      <c r="I22" s="50"/>
      <c r="J22" s="54"/>
      <c r="K22" s="50"/>
      <c r="L22" s="54"/>
      <c r="M22" s="50"/>
      <c r="N22" s="50"/>
      <c r="O22" s="50"/>
      <c r="P22" s="50"/>
      <c r="Q22" s="50"/>
      <c r="R22" s="50"/>
      <c r="S22" s="54"/>
      <c r="T22" s="50"/>
      <c r="U22" s="50"/>
      <c r="V22" s="50"/>
      <c r="W22" s="50"/>
      <c r="X22" s="50"/>
      <c r="Y22" s="50"/>
      <c r="Z22" s="54"/>
      <c r="AA22" s="50"/>
      <c r="AB22" s="50"/>
      <c r="AC22" s="50"/>
      <c r="AD22" s="50"/>
      <c r="AE22" s="50"/>
      <c r="AF22" s="54"/>
      <c r="AG22" s="54"/>
      <c r="AH22" s="54"/>
      <c r="AI22" s="50"/>
      <c r="AJ22" s="51"/>
      <c r="AL22" s="37"/>
      <c r="AM22" s="38">
        <f t="shared" si="0"/>
        <v>0</v>
      </c>
      <c r="AN22" s="39">
        <f t="shared" si="1"/>
        <v>0</v>
      </c>
      <c r="AO22" s="39">
        <f t="shared" si="2"/>
        <v>0</v>
      </c>
      <c r="AP22" s="39">
        <f t="shared" si="3"/>
        <v>0</v>
      </c>
      <c r="AQ22" s="40">
        <f t="shared" si="4"/>
        <v>0</v>
      </c>
      <c r="AR22" s="41">
        <f t="shared" si="5"/>
        <v>0</v>
      </c>
      <c r="AS22" s="42">
        <f t="shared" si="6"/>
        <v>0</v>
      </c>
      <c r="AT22" s="43">
        <f t="shared" si="7"/>
        <v>0</v>
      </c>
      <c r="AU22" s="44">
        <f t="shared" si="8"/>
        <v>0</v>
      </c>
      <c r="AV22" s="39">
        <f t="shared" si="9"/>
        <v>0</v>
      </c>
      <c r="AW22" s="39">
        <f t="shared" si="10"/>
        <v>0</v>
      </c>
      <c r="AX22" s="39">
        <f t="shared" si="11"/>
        <v>0</v>
      </c>
      <c r="AY22" s="39">
        <f t="shared" si="12"/>
        <v>0</v>
      </c>
      <c r="AZ22" s="45">
        <f t="shared" si="13"/>
        <v>0</v>
      </c>
      <c r="BA22" s="46">
        <f t="shared" si="14"/>
        <v>0</v>
      </c>
      <c r="BB22" s="47">
        <f t="shared" si="15"/>
        <v>0</v>
      </c>
      <c r="BC22" s="69"/>
    </row>
    <row r="23" spans="1:67" ht="27" customHeight="1" x14ac:dyDescent="0.3">
      <c r="A23" s="35">
        <v>16</v>
      </c>
      <c r="B23" s="48"/>
      <c r="C23" s="52"/>
      <c r="D23" s="53"/>
      <c r="E23" s="49"/>
      <c r="F23" s="54"/>
      <c r="G23" s="50"/>
      <c r="H23" s="50"/>
      <c r="I23" s="50"/>
      <c r="J23" s="54"/>
      <c r="K23" s="50"/>
      <c r="L23" s="54"/>
      <c r="M23" s="50"/>
      <c r="N23" s="50"/>
      <c r="O23" s="50"/>
      <c r="P23" s="50"/>
      <c r="Q23" s="50"/>
      <c r="R23" s="50"/>
      <c r="S23" s="54"/>
      <c r="T23" s="50"/>
      <c r="U23" s="50"/>
      <c r="V23" s="50"/>
      <c r="W23" s="50"/>
      <c r="X23" s="50"/>
      <c r="Y23" s="50"/>
      <c r="Z23" s="54"/>
      <c r="AA23" s="50"/>
      <c r="AB23" s="50"/>
      <c r="AC23" s="50"/>
      <c r="AD23" s="50"/>
      <c r="AE23" s="50"/>
      <c r="AF23" s="54"/>
      <c r="AG23" s="54"/>
      <c r="AH23" s="54"/>
      <c r="AI23" s="50"/>
      <c r="AJ23" s="51"/>
      <c r="AL23" s="37"/>
      <c r="AM23" s="38">
        <f t="shared" si="0"/>
        <v>0</v>
      </c>
      <c r="AN23" s="39">
        <f t="shared" si="1"/>
        <v>0</v>
      </c>
      <c r="AO23" s="39">
        <f t="shared" si="2"/>
        <v>0</v>
      </c>
      <c r="AP23" s="39">
        <f t="shared" si="3"/>
        <v>0</v>
      </c>
      <c r="AQ23" s="40">
        <f t="shared" si="4"/>
        <v>0</v>
      </c>
      <c r="AR23" s="41">
        <f t="shared" si="5"/>
        <v>0</v>
      </c>
      <c r="AS23" s="42">
        <f t="shared" si="6"/>
        <v>0</v>
      </c>
      <c r="AT23" s="43">
        <f t="shared" si="7"/>
        <v>0</v>
      </c>
      <c r="AU23" s="44">
        <f t="shared" si="8"/>
        <v>0</v>
      </c>
      <c r="AV23" s="39">
        <f t="shared" si="9"/>
        <v>0</v>
      </c>
      <c r="AW23" s="39">
        <f t="shared" si="10"/>
        <v>0</v>
      </c>
      <c r="AX23" s="39">
        <f t="shared" si="11"/>
        <v>0</v>
      </c>
      <c r="AY23" s="39">
        <f t="shared" si="12"/>
        <v>0</v>
      </c>
      <c r="AZ23" s="45">
        <f t="shared" si="13"/>
        <v>0</v>
      </c>
      <c r="BA23" s="46">
        <f t="shared" si="14"/>
        <v>0</v>
      </c>
      <c r="BB23" s="47">
        <f t="shared" si="15"/>
        <v>0</v>
      </c>
      <c r="BC23" s="69"/>
    </row>
    <row r="24" spans="1:67" ht="27" customHeight="1" x14ac:dyDescent="0.3">
      <c r="A24" s="35">
        <v>17</v>
      </c>
      <c r="B24" s="48"/>
      <c r="C24" s="52"/>
      <c r="D24" s="53"/>
      <c r="E24" s="49"/>
      <c r="F24" s="54"/>
      <c r="G24" s="50"/>
      <c r="H24" s="50"/>
      <c r="I24" s="50"/>
      <c r="J24" s="54"/>
      <c r="K24" s="50"/>
      <c r="L24" s="50"/>
      <c r="M24" s="50"/>
      <c r="N24" s="50"/>
      <c r="O24" s="50"/>
      <c r="P24" s="50"/>
      <c r="Q24" s="50"/>
      <c r="R24" s="50"/>
      <c r="S24" s="54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4"/>
      <c r="AG24" s="54"/>
      <c r="AH24" s="54"/>
      <c r="AI24" s="50"/>
      <c r="AJ24" s="51"/>
      <c r="AL24" s="37"/>
      <c r="AM24" s="38">
        <f t="shared" si="0"/>
        <v>0</v>
      </c>
      <c r="AN24" s="39">
        <f t="shared" si="1"/>
        <v>0</v>
      </c>
      <c r="AO24" s="39">
        <f t="shared" si="2"/>
        <v>0</v>
      </c>
      <c r="AP24" s="39">
        <f t="shared" si="3"/>
        <v>0</v>
      </c>
      <c r="AQ24" s="40">
        <f t="shared" si="4"/>
        <v>0</v>
      </c>
      <c r="AR24" s="41">
        <f t="shared" si="5"/>
        <v>0</v>
      </c>
      <c r="AS24" s="42">
        <f t="shared" si="6"/>
        <v>0</v>
      </c>
      <c r="AT24" s="43">
        <f t="shared" si="7"/>
        <v>0</v>
      </c>
      <c r="AU24" s="44">
        <f t="shared" si="8"/>
        <v>0</v>
      </c>
      <c r="AV24" s="39">
        <f t="shared" si="9"/>
        <v>0</v>
      </c>
      <c r="AW24" s="39">
        <f t="shared" si="10"/>
        <v>0</v>
      </c>
      <c r="AX24" s="39">
        <f t="shared" si="11"/>
        <v>0</v>
      </c>
      <c r="AY24" s="39">
        <f t="shared" si="12"/>
        <v>0</v>
      </c>
      <c r="AZ24" s="45">
        <f t="shared" si="13"/>
        <v>0</v>
      </c>
      <c r="BA24" s="46">
        <f t="shared" si="14"/>
        <v>0</v>
      </c>
      <c r="BB24" s="47">
        <f t="shared" si="15"/>
        <v>0</v>
      </c>
      <c r="BC24" s="69"/>
    </row>
    <row r="25" spans="1:67" ht="27" customHeight="1" x14ac:dyDescent="0.3">
      <c r="A25" s="35">
        <v>18</v>
      </c>
      <c r="B25" s="48"/>
      <c r="C25" s="52"/>
      <c r="D25" s="53"/>
      <c r="E25" s="49"/>
      <c r="F25" s="50"/>
      <c r="G25" s="50"/>
      <c r="H25" s="50"/>
      <c r="I25" s="50"/>
      <c r="J25" s="54"/>
      <c r="K25" s="50"/>
      <c r="L25" s="50"/>
      <c r="M25" s="50"/>
      <c r="N25" s="50"/>
      <c r="O25" s="50"/>
      <c r="P25" s="50"/>
      <c r="Q25" s="50"/>
      <c r="R25" s="50"/>
      <c r="S25" s="54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4"/>
      <c r="AG25" s="54"/>
      <c r="AH25" s="54"/>
      <c r="AI25" s="50"/>
      <c r="AJ25" s="51"/>
      <c r="AL25" s="37"/>
      <c r="AM25" s="38">
        <f t="shared" si="0"/>
        <v>0</v>
      </c>
      <c r="AN25" s="39">
        <f t="shared" si="1"/>
        <v>0</v>
      </c>
      <c r="AO25" s="39">
        <f t="shared" si="2"/>
        <v>0</v>
      </c>
      <c r="AP25" s="39">
        <f t="shared" si="3"/>
        <v>0</v>
      </c>
      <c r="AQ25" s="40">
        <f t="shared" si="4"/>
        <v>0</v>
      </c>
      <c r="AR25" s="41">
        <f t="shared" si="5"/>
        <v>0</v>
      </c>
      <c r="AS25" s="42">
        <f t="shared" si="6"/>
        <v>0</v>
      </c>
      <c r="AT25" s="43">
        <f t="shared" si="7"/>
        <v>0</v>
      </c>
      <c r="AU25" s="44">
        <f t="shared" si="8"/>
        <v>0</v>
      </c>
      <c r="AV25" s="39">
        <f t="shared" si="9"/>
        <v>0</v>
      </c>
      <c r="AW25" s="39">
        <f t="shared" si="10"/>
        <v>0</v>
      </c>
      <c r="AX25" s="39">
        <f t="shared" si="11"/>
        <v>0</v>
      </c>
      <c r="AY25" s="39">
        <f t="shared" si="12"/>
        <v>0</v>
      </c>
      <c r="AZ25" s="45">
        <f t="shared" si="13"/>
        <v>0</v>
      </c>
      <c r="BA25" s="46">
        <f t="shared" si="14"/>
        <v>0</v>
      </c>
      <c r="BB25" s="47">
        <f t="shared" si="15"/>
        <v>0</v>
      </c>
      <c r="BC25" s="69"/>
    </row>
    <row r="26" spans="1:67" ht="27" customHeight="1" x14ac:dyDescent="0.3">
      <c r="A26" s="35">
        <v>19</v>
      </c>
      <c r="B26" s="48"/>
      <c r="C26" s="52"/>
      <c r="D26" s="53"/>
      <c r="E26" s="49"/>
      <c r="F26" s="50"/>
      <c r="G26" s="50"/>
      <c r="H26" s="50"/>
      <c r="I26" s="50"/>
      <c r="J26" s="54"/>
      <c r="K26" s="50"/>
      <c r="L26" s="50"/>
      <c r="M26" s="50"/>
      <c r="N26" s="50"/>
      <c r="O26" s="50"/>
      <c r="P26" s="50"/>
      <c r="Q26" s="50"/>
      <c r="R26" s="50"/>
      <c r="S26" s="54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4"/>
      <c r="AG26" s="54"/>
      <c r="AH26" s="54"/>
      <c r="AI26" s="50"/>
      <c r="AJ26" s="51"/>
      <c r="AL26" s="37"/>
      <c r="AM26" s="38">
        <f t="shared" si="0"/>
        <v>0</v>
      </c>
      <c r="AN26" s="39">
        <f t="shared" si="1"/>
        <v>0</v>
      </c>
      <c r="AO26" s="39">
        <f t="shared" si="2"/>
        <v>0</v>
      </c>
      <c r="AP26" s="39">
        <f t="shared" si="3"/>
        <v>0</v>
      </c>
      <c r="AQ26" s="40">
        <f t="shared" si="4"/>
        <v>0</v>
      </c>
      <c r="AR26" s="41">
        <f t="shared" si="5"/>
        <v>0</v>
      </c>
      <c r="AS26" s="42">
        <f t="shared" si="6"/>
        <v>0</v>
      </c>
      <c r="AT26" s="43">
        <f t="shared" si="7"/>
        <v>0</v>
      </c>
      <c r="AU26" s="44">
        <f t="shared" si="8"/>
        <v>0</v>
      </c>
      <c r="AV26" s="39">
        <f t="shared" si="9"/>
        <v>0</v>
      </c>
      <c r="AW26" s="39">
        <f t="shared" si="10"/>
        <v>0</v>
      </c>
      <c r="AX26" s="39">
        <f t="shared" si="11"/>
        <v>0</v>
      </c>
      <c r="AY26" s="39">
        <f t="shared" si="12"/>
        <v>0</v>
      </c>
      <c r="AZ26" s="45">
        <f t="shared" si="13"/>
        <v>0</v>
      </c>
      <c r="BA26" s="46">
        <f t="shared" si="14"/>
        <v>0</v>
      </c>
      <c r="BB26" s="47">
        <f t="shared" si="15"/>
        <v>0</v>
      </c>
      <c r="BC26" s="69"/>
      <c r="BO26" s="3" t="s">
        <v>37</v>
      </c>
    </row>
    <row r="27" spans="1:67" ht="27" customHeight="1" x14ac:dyDescent="0.3">
      <c r="A27" s="35">
        <v>20</v>
      </c>
      <c r="B27" s="48"/>
      <c r="C27" s="52"/>
      <c r="D27" s="53"/>
      <c r="E27" s="49"/>
      <c r="F27" s="54"/>
      <c r="G27" s="50"/>
      <c r="H27" s="50"/>
      <c r="I27" s="50"/>
      <c r="J27" s="54"/>
      <c r="K27" s="50"/>
      <c r="L27" s="54"/>
      <c r="M27" s="50"/>
      <c r="N27" s="50"/>
      <c r="O27" s="50"/>
      <c r="P27" s="50"/>
      <c r="Q27" s="50"/>
      <c r="R27" s="50"/>
      <c r="S27" s="54"/>
      <c r="T27" s="50"/>
      <c r="U27" s="50"/>
      <c r="V27" s="50"/>
      <c r="W27" s="50"/>
      <c r="X27" s="50"/>
      <c r="Y27" s="50"/>
      <c r="Z27" s="54"/>
      <c r="AA27" s="50"/>
      <c r="AB27" s="50"/>
      <c r="AC27" s="50"/>
      <c r="AD27" s="50"/>
      <c r="AE27" s="50"/>
      <c r="AF27" s="54"/>
      <c r="AG27" s="54"/>
      <c r="AH27" s="54"/>
      <c r="AI27" s="50"/>
      <c r="AJ27" s="51"/>
      <c r="AL27" s="37"/>
      <c r="AM27" s="38">
        <f t="shared" si="0"/>
        <v>0</v>
      </c>
      <c r="AN27" s="39">
        <f t="shared" si="1"/>
        <v>0</v>
      </c>
      <c r="AO27" s="39">
        <f t="shared" si="2"/>
        <v>0</v>
      </c>
      <c r="AP27" s="39">
        <f t="shared" si="3"/>
        <v>0</v>
      </c>
      <c r="AQ27" s="40">
        <f t="shared" si="4"/>
        <v>0</v>
      </c>
      <c r="AR27" s="41">
        <f t="shared" si="5"/>
        <v>0</v>
      </c>
      <c r="AS27" s="42">
        <f t="shared" si="6"/>
        <v>0</v>
      </c>
      <c r="AT27" s="43">
        <f t="shared" si="7"/>
        <v>0</v>
      </c>
      <c r="AU27" s="44">
        <f t="shared" si="8"/>
        <v>0</v>
      </c>
      <c r="AV27" s="39">
        <f t="shared" si="9"/>
        <v>0</v>
      </c>
      <c r="AW27" s="39">
        <f t="shared" si="10"/>
        <v>0</v>
      </c>
      <c r="AX27" s="39">
        <f t="shared" si="11"/>
        <v>0</v>
      </c>
      <c r="AY27" s="39">
        <f t="shared" si="12"/>
        <v>0</v>
      </c>
      <c r="AZ27" s="45">
        <f t="shared" si="13"/>
        <v>0</v>
      </c>
      <c r="BA27" s="46">
        <f t="shared" si="14"/>
        <v>0</v>
      </c>
      <c r="BB27" s="47">
        <f t="shared" si="15"/>
        <v>0</v>
      </c>
      <c r="BC27" s="69"/>
    </row>
    <row r="28" spans="1:67" ht="27" customHeight="1" x14ac:dyDescent="0.3">
      <c r="A28" s="35">
        <v>21</v>
      </c>
      <c r="B28" s="48"/>
      <c r="C28" s="52"/>
      <c r="D28" s="53"/>
      <c r="E28" s="49"/>
      <c r="F28" s="54"/>
      <c r="G28" s="50"/>
      <c r="H28" s="50"/>
      <c r="I28" s="50"/>
      <c r="J28" s="54"/>
      <c r="K28" s="50"/>
      <c r="L28" s="54"/>
      <c r="M28" s="50"/>
      <c r="N28" s="50"/>
      <c r="O28" s="50"/>
      <c r="P28" s="50"/>
      <c r="Q28" s="50"/>
      <c r="R28" s="50"/>
      <c r="S28" s="54"/>
      <c r="T28" s="50"/>
      <c r="U28" s="50"/>
      <c r="V28" s="50"/>
      <c r="W28" s="50"/>
      <c r="X28" s="50"/>
      <c r="Y28" s="50"/>
      <c r="Z28" s="54"/>
      <c r="AA28" s="50"/>
      <c r="AB28" s="50"/>
      <c r="AC28" s="50"/>
      <c r="AD28" s="50"/>
      <c r="AE28" s="50"/>
      <c r="AF28" s="54"/>
      <c r="AG28" s="54"/>
      <c r="AH28" s="54"/>
      <c r="AI28" s="50"/>
      <c r="AJ28" s="51"/>
      <c r="AL28" s="37"/>
      <c r="AM28" s="38">
        <f t="shared" si="0"/>
        <v>0</v>
      </c>
      <c r="AN28" s="39">
        <f t="shared" si="1"/>
        <v>0</v>
      </c>
      <c r="AO28" s="39">
        <f t="shared" si="2"/>
        <v>0</v>
      </c>
      <c r="AP28" s="39">
        <f t="shared" si="3"/>
        <v>0</v>
      </c>
      <c r="AQ28" s="40">
        <f t="shared" si="4"/>
        <v>0</v>
      </c>
      <c r="AR28" s="41">
        <f t="shared" si="5"/>
        <v>0</v>
      </c>
      <c r="AS28" s="42">
        <f t="shared" si="6"/>
        <v>0</v>
      </c>
      <c r="AT28" s="43">
        <f t="shared" si="7"/>
        <v>0</v>
      </c>
      <c r="AU28" s="44">
        <f t="shared" si="8"/>
        <v>0</v>
      </c>
      <c r="AV28" s="39">
        <f t="shared" si="9"/>
        <v>0</v>
      </c>
      <c r="AW28" s="39">
        <f t="shared" si="10"/>
        <v>0</v>
      </c>
      <c r="AX28" s="39">
        <f t="shared" si="11"/>
        <v>0</v>
      </c>
      <c r="AY28" s="39">
        <f t="shared" si="12"/>
        <v>0</v>
      </c>
      <c r="AZ28" s="45">
        <f t="shared" si="13"/>
        <v>0</v>
      </c>
      <c r="BA28" s="46">
        <f t="shared" si="14"/>
        <v>0</v>
      </c>
      <c r="BB28" s="47">
        <f t="shared" si="15"/>
        <v>0</v>
      </c>
      <c r="BC28" s="69"/>
    </row>
    <row r="29" spans="1:67" ht="27" customHeight="1" x14ac:dyDescent="0.3">
      <c r="A29" s="35">
        <v>22</v>
      </c>
      <c r="B29" s="48"/>
      <c r="C29" s="52"/>
      <c r="D29" s="53"/>
      <c r="E29" s="49"/>
      <c r="F29" s="50"/>
      <c r="G29" s="50"/>
      <c r="H29" s="50"/>
      <c r="I29" s="50"/>
      <c r="J29" s="54"/>
      <c r="K29" s="50"/>
      <c r="L29" s="50"/>
      <c r="M29" s="50"/>
      <c r="N29" s="50"/>
      <c r="O29" s="50"/>
      <c r="P29" s="50"/>
      <c r="Q29" s="50"/>
      <c r="R29" s="50"/>
      <c r="S29" s="54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4"/>
      <c r="AG29" s="54"/>
      <c r="AH29" s="54"/>
      <c r="AI29" s="50"/>
      <c r="AJ29" s="51"/>
      <c r="AL29" s="37"/>
      <c r="AM29" s="38">
        <f t="shared" si="0"/>
        <v>0</v>
      </c>
      <c r="AN29" s="39">
        <f t="shared" si="1"/>
        <v>0</v>
      </c>
      <c r="AO29" s="39">
        <f t="shared" si="2"/>
        <v>0</v>
      </c>
      <c r="AP29" s="39">
        <f t="shared" si="3"/>
        <v>0</v>
      </c>
      <c r="AQ29" s="40">
        <f t="shared" si="4"/>
        <v>0</v>
      </c>
      <c r="AR29" s="41">
        <f t="shared" si="5"/>
        <v>0</v>
      </c>
      <c r="AS29" s="42">
        <f t="shared" si="6"/>
        <v>0</v>
      </c>
      <c r="AT29" s="43">
        <f t="shared" si="7"/>
        <v>0</v>
      </c>
      <c r="AU29" s="44">
        <f t="shared" si="8"/>
        <v>0</v>
      </c>
      <c r="AV29" s="39">
        <f t="shared" si="9"/>
        <v>0</v>
      </c>
      <c r="AW29" s="39">
        <f t="shared" si="10"/>
        <v>0</v>
      </c>
      <c r="AX29" s="39">
        <f t="shared" si="11"/>
        <v>0</v>
      </c>
      <c r="AY29" s="39">
        <f t="shared" si="12"/>
        <v>0</v>
      </c>
      <c r="AZ29" s="45">
        <f t="shared" si="13"/>
        <v>0</v>
      </c>
      <c r="BA29" s="46">
        <f t="shared" si="14"/>
        <v>0</v>
      </c>
      <c r="BB29" s="47">
        <f t="shared" si="15"/>
        <v>0</v>
      </c>
      <c r="BC29" s="69"/>
      <c r="BO29" s="3" t="s">
        <v>37</v>
      </c>
    </row>
    <row r="30" spans="1:67" ht="27" customHeight="1" x14ac:dyDescent="0.3">
      <c r="A30" s="35">
        <v>23</v>
      </c>
      <c r="B30" s="48"/>
      <c r="C30" s="52"/>
      <c r="D30" s="53"/>
      <c r="E30" s="49"/>
      <c r="F30" s="54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4"/>
      <c r="AI30" s="50"/>
      <c r="AJ30" s="51"/>
      <c r="AL30" s="37"/>
      <c r="AM30" s="38">
        <f t="shared" si="0"/>
        <v>0</v>
      </c>
      <c r="AN30" s="39">
        <f t="shared" si="1"/>
        <v>0</v>
      </c>
      <c r="AO30" s="39">
        <f t="shared" si="2"/>
        <v>0</v>
      </c>
      <c r="AP30" s="39">
        <f t="shared" si="3"/>
        <v>0</v>
      </c>
      <c r="AQ30" s="40">
        <f t="shared" si="4"/>
        <v>0</v>
      </c>
      <c r="AR30" s="41">
        <f t="shared" si="5"/>
        <v>0</v>
      </c>
      <c r="AS30" s="42">
        <f t="shared" si="6"/>
        <v>0</v>
      </c>
      <c r="AT30" s="43">
        <f t="shared" si="7"/>
        <v>0</v>
      </c>
      <c r="AU30" s="44">
        <f t="shared" si="8"/>
        <v>0</v>
      </c>
      <c r="AV30" s="39">
        <f t="shared" si="9"/>
        <v>0</v>
      </c>
      <c r="AW30" s="39">
        <f t="shared" si="10"/>
        <v>0</v>
      </c>
      <c r="AX30" s="39">
        <f t="shared" si="11"/>
        <v>0</v>
      </c>
      <c r="AY30" s="39">
        <f t="shared" si="12"/>
        <v>0</v>
      </c>
      <c r="AZ30" s="45">
        <f t="shared" si="13"/>
        <v>0</v>
      </c>
      <c r="BA30" s="46">
        <f t="shared" si="14"/>
        <v>0</v>
      </c>
      <c r="BB30" s="47">
        <f t="shared" si="15"/>
        <v>0</v>
      </c>
      <c r="BC30" s="69"/>
    </row>
    <row r="31" spans="1:67" ht="27" customHeight="1" x14ac:dyDescent="0.3">
      <c r="A31" s="35">
        <v>24</v>
      </c>
      <c r="B31" s="48"/>
      <c r="C31" s="52"/>
      <c r="D31" s="53"/>
      <c r="E31" s="49"/>
      <c r="F31" s="54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4"/>
      <c r="AI31" s="50"/>
      <c r="AJ31" s="51"/>
      <c r="AL31" s="37"/>
      <c r="AM31" s="38">
        <f t="shared" si="0"/>
        <v>0</v>
      </c>
      <c r="AN31" s="39">
        <f t="shared" si="1"/>
        <v>0</v>
      </c>
      <c r="AO31" s="39">
        <f t="shared" si="2"/>
        <v>0</v>
      </c>
      <c r="AP31" s="39">
        <f t="shared" si="3"/>
        <v>0</v>
      </c>
      <c r="AQ31" s="40">
        <f t="shared" si="4"/>
        <v>0</v>
      </c>
      <c r="AR31" s="41">
        <f t="shared" si="5"/>
        <v>0</v>
      </c>
      <c r="AS31" s="42">
        <f t="shared" si="6"/>
        <v>0</v>
      </c>
      <c r="AT31" s="43">
        <f t="shared" si="7"/>
        <v>0</v>
      </c>
      <c r="AU31" s="44">
        <f t="shared" si="8"/>
        <v>0</v>
      </c>
      <c r="AV31" s="39">
        <f t="shared" si="9"/>
        <v>0</v>
      </c>
      <c r="AW31" s="39">
        <f t="shared" si="10"/>
        <v>0</v>
      </c>
      <c r="AX31" s="39">
        <f t="shared" si="11"/>
        <v>0</v>
      </c>
      <c r="AY31" s="39">
        <f t="shared" si="12"/>
        <v>0</v>
      </c>
      <c r="AZ31" s="45">
        <f t="shared" si="13"/>
        <v>0</v>
      </c>
      <c r="BA31" s="46">
        <f t="shared" si="14"/>
        <v>0</v>
      </c>
      <c r="BB31" s="47">
        <f t="shared" si="15"/>
        <v>0</v>
      </c>
      <c r="BC31" s="69"/>
    </row>
    <row r="32" spans="1:67" ht="27" customHeight="1" x14ac:dyDescent="0.3">
      <c r="A32" s="35">
        <v>25</v>
      </c>
      <c r="B32" s="48"/>
      <c r="C32" s="52"/>
      <c r="D32" s="53"/>
      <c r="E32" s="49"/>
      <c r="F32" s="54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4"/>
      <c r="AI32" s="50"/>
      <c r="AJ32" s="51"/>
      <c r="AL32" s="37"/>
      <c r="AM32" s="38">
        <f t="shared" si="0"/>
        <v>0</v>
      </c>
      <c r="AN32" s="39">
        <f t="shared" si="1"/>
        <v>0</v>
      </c>
      <c r="AO32" s="39">
        <f t="shared" si="2"/>
        <v>0</v>
      </c>
      <c r="AP32" s="39">
        <f t="shared" si="3"/>
        <v>0</v>
      </c>
      <c r="AQ32" s="40">
        <f t="shared" si="4"/>
        <v>0</v>
      </c>
      <c r="AR32" s="41">
        <f t="shared" si="5"/>
        <v>0</v>
      </c>
      <c r="AS32" s="42">
        <f t="shared" si="6"/>
        <v>0</v>
      </c>
      <c r="AT32" s="43">
        <f t="shared" si="7"/>
        <v>0</v>
      </c>
      <c r="AU32" s="44">
        <f t="shared" si="8"/>
        <v>0</v>
      </c>
      <c r="AV32" s="39">
        <f t="shared" si="9"/>
        <v>0</v>
      </c>
      <c r="AW32" s="39">
        <f t="shared" si="10"/>
        <v>0</v>
      </c>
      <c r="AX32" s="39">
        <f t="shared" si="11"/>
        <v>0</v>
      </c>
      <c r="AY32" s="39">
        <f t="shared" si="12"/>
        <v>0</v>
      </c>
      <c r="AZ32" s="45">
        <f t="shared" si="13"/>
        <v>0</v>
      </c>
      <c r="BA32" s="46">
        <f t="shared" si="14"/>
        <v>0</v>
      </c>
      <c r="BB32" s="47">
        <f t="shared" si="15"/>
        <v>0</v>
      </c>
      <c r="BC32" s="69"/>
    </row>
    <row r="33" spans="1:55" ht="27" customHeight="1" x14ac:dyDescent="0.3">
      <c r="A33" s="35">
        <v>26</v>
      </c>
      <c r="B33" s="48"/>
      <c r="C33" s="52"/>
      <c r="D33" s="53"/>
      <c r="E33" s="49"/>
      <c r="F33" s="54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4"/>
      <c r="AI33" s="50"/>
      <c r="AJ33" s="51"/>
      <c r="AL33" s="37"/>
      <c r="AM33" s="38">
        <f t="shared" si="0"/>
        <v>0</v>
      </c>
      <c r="AN33" s="39">
        <f t="shared" si="1"/>
        <v>0</v>
      </c>
      <c r="AO33" s="39">
        <f t="shared" si="2"/>
        <v>0</v>
      </c>
      <c r="AP33" s="39">
        <f t="shared" si="3"/>
        <v>0</v>
      </c>
      <c r="AQ33" s="40">
        <f t="shared" si="4"/>
        <v>0</v>
      </c>
      <c r="AR33" s="41">
        <f t="shared" si="5"/>
        <v>0</v>
      </c>
      <c r="AS33" s="42">
        <f t="shared" si="6"/>
        <v>0</v>
      </c>
      <c r="AT33" s="43">
        <f t="shared" si="7"/>
        <v>0</v>
      </c>
      <c r="AU33" s="44">
        <f t="shared" si="8"/>
        <v>0</v>
      </c>
      <c r="AV33" s="39">
        <f t="shared" si="9"/>
        <v>0</v>
      </c>
      <c r="AW33" s="39">
        <f t="shared" si="10"/>
        <v>0</v>
      </c>
      <c r="AX33" s="39">
        <f t="shared" si="11"/>
        <v>0</v>
      </c>
      <c r="AY33" s="39">
        <f t="shared" si="12"/>
        <v>0</v>
      </c>
      <c r="AZ33" s="45">
        <f t="shared" si="13"/>
        <v>0</v>
      </c>
      <c r="BA33" s="46">
        <f t="shared" si="14"/>
        <v>0</v>
      </c>
      <c r="BB33" s="47">
        <f t="shared" si="15"/>
        <v>0</v>
      </c>
      <c r="BC33" s="69"/>
    </row>
    <row r="34" spans="1:55" ht="27" customHeight="1" x14ac:dyDescent="0.3">
      <c r="A34" s="35">
        <v>27</v>
      </c>
      <c r="B34" s="48"/>
      <c r="C34" s="52"/>
      <c r="D34" s="53"/>
      <c r="E34" s="49"/>
      <c r="F34" s="54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4"/>
      <c r="AI34" s="50"/>
      <c r="AJ34" s="51"/>
      <c r="AL34" s="37"/>
      <c r="AM34" s="38">
        <f t="shared" si="0"/>
        <v>0</v>
      </c>
      <c r="AN34" s="39">
        <f t="shared" si="1"/>
        <v>0</v>
      </c>
      <c r="AO34" s="39">
        <f t="shared" si="2"/>
        <v>0</v>
      </c>
      <c r="AP34" s="39">
        <f t="shared" si="3"/>
        <v>0</v>
      </c>
      <c r="AQ34" s="40">
        <f t="shared" si="4"/>
        <v>0</v>
      </c>
      <c r="AR34" s="41">
        <f t="shared" si="5"/>
        <v>0</v>
      </c>
      <c r="AS34" s="42">
        <f t="shared" si="6"/>
        <v>0</v>
      </c>
      <c r="AT34" s="43">
        <f t="shared" si="7"/>
        <v>0</v>
      </c>
      <c r="AU34" s="44">
        <f t="shared" si="8"/>
        <v>0</v>
      </c>
      <c r="AV34" s="39">
        <f t="shared" si="9"/>
        <v>0</v>
      </c>
      <c r="AW34" s="39">
        <f t="shared" si="10"/>
        <v>0</v>
      </c>
      <c r="AX34" s="39">
        <f t="shared" si="11"/>
        <v>0</v>
      </c>
      <c r="AY34" s="39">
        <f t="shared" si="12"/>
        <v>0</v>
      </c>
      <c r="AZ34" s="45">
        <f t="shared" si="13"/>
        <v>0</v>
      </c>
      <c r="BA34" s="46">
        <f t="shared" si="14"/>
        <v>0</v>
      </c>
      <c r="BB34" s="47">
        <f t="shared" si="15"/>
        <v>0</v>
      </c>
      <c r="BC34" s="69"/>
    </row>
    <row r="35" spans="1:55" ht="27" customHeight="1" x14ac:dyDescent="0.3">
      <c r="A35" s="35">
        <v>28</v>
      </c>
      <c r="B35" s="48"/>
      <c r="C35" s="52"/>
      <c r="D35" s="53"/>
      <c r="E35" s="49"/>
      <c r="F35" s="54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1"/>
      <c r="AL35" s="37"/>
      <c r="AM35" s="38">
        <f t="shared" si="0"/>
        <v>0</v>
      </c>
      <c r="AN35" s="39">
        <f t="shared" si="1"/>
        <v>0</v>
      </c>
      <c r="AO35" s="39">
        <f t="shared" si="2"/>
        <v>0</v>
      </c>
      <c r="AP35" s="39">
        <f t="shared" si="3"/>
        <v>0</v>
      </c>
      <c r="AQ35" s="40">
        <f t="shared" si="4"/>
        <v>0</v>
      </c>
      <c r="AR35" s="41">
        <f t="shared" si="5"/>
        <v>0</v>
      </c>
      <c r="AS35" s="42">
        <f t="shared" si="6"/>
        <v>0</v>
      </c>
      <c r="AT35" s="43">
        <f t="shared" si="7"/>
        <v>0</v>
      </c>
      <c r="AU35" s="44">
        <f t="shared" si="8"/>
        <v>0</v>
      </c>
      <c r="AV35" s="39">
        <f t="shared" si="9"/>
        <v>0</v>
      </c>
      <c r="AW35" s="39">
        <f t="shared" si="10"/>
        <v>0</v>
      </c>
      <c r="AX35" s="39">
        <f t="shared" si="11"/>
        <v>0</v>
      </c>
      <c r="AY35" s="39">
        <f t="shared" si="12"/>
        <v>0</v>
      </c>
      <c r="AZ35" s="45">
        <f t="shared" si="13"/>
        <v>0</v>
      </c>
      <c r="BA35" s="46">
        <f t="shared" si="14"/>
        <v>0</v>
      </c>
      <c r="BB35" s="47">
        <f t="shared" si="15"/>
        <v>0</v>
      </c>
      <c r="BC35" s="69"/>
    </row>
    <row r="36" spans="1:55" ht="27" customHeight="1" x14ac:dyDescent="0.3">
      <c r="A36" s="35">
        <v>29</v>
      </c>
      <c r="B36" s="48"/>
      <c r="C36" s="52"/>
      <c r="D36" s="53"/>
      <c r="E36" s="49"/>
      <c r="F36" s="54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1"/>
      <c r="AL36" s="37"/>
      <c r="AM36" s="38">
        <f t="shared" si="0"/>
        <v>0</v>
      </c>
      <c r="AN36" s="39">
        <f t="shared" si="1"/>
        <v>0</v>
      </c>
      <c r="AO36" s="39">
        <f t="shared" si="2"/>
        <v>0</v>
      </c>
      <c r="AP36" s="39">
        <f t="shared" si="3"/>
        <v>0</v>
      </c>
      <c r="AQ36" s="40">
        <f t="shared" si="4"/>
        <v>0</v>
      </c>
      <c r="AR36" s="41">
        <f t="shared" si="5"/>
        <v>0</v>
      </c>
      <c r="AS36" s="42">
        <f t="shared" si="6"/>
        <v>0</v>
      </c>
      <c r="AT36" s="43">
        <f t="shared" si="7"/>
        <v>0</v>
      </c>
      <c r="AU36" s="44">
        <f t="shared" si="8"/>
        <v>0</v>
      </c>
      <c r="AV36" s="39">
        <f t="shared" si="9"/>
        <v>0</v>
      </c>
      <c r="AW36" s="39">
        <f t="shared" si="10"/>
        <v>0</v>
      </c>
      <c r="AX36" s="39">
        <f t="shared" si="11"/>
        <v>0</v>
      </c>
      <c r="AY36" s="39">
        <f t="shared" si="12"/>
        <v>0</v>
      </c>
      <c r="AZ36" s="45">
        <f t="shared" si="13"/>
        <v>0</v>
      </c>
      <c r="BA36" s="46">
        <f t="shared" si="14"/>
        <v>0</v>
      </c>
      <c r="BB36" s="47">
        <f t="shared" si="15"/>
        <v>0</v>
      </c>
      <c r="BC36" s="69"/>
    </row>
    <row r="37" spans="1:55" ht="27" customHeight="1" x14ac:dyDescent="0.3">
      <c r="A37" s="59">
        <v>30</v>
      </c>
      <c r="B37" s="60"/>
      <c r="C37" s="61"/>
      <c r="D37" s="62"/>
      <c r="E37" s="63"/>
      <c r="F37" s="64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6"/>
      <c r="AL37" s="37"/>
      <c r="AM37" s="38">
        <f t="shared" si="0"/>
        <v>0</v>
      </c>
      <c r="AN37" s="39">
        <f t="shared" si="1"/>
        <v>0</v>
      </c>
      <c r="AO37" s="39">
        <f t="shared" si="2"/>
        <v>0</v>
      </c>
      <c r="AP37" s="39">
        <f t="shared" si="3"/>
        <v>0</v>
      </c>
      <c r="AQ37" s="40">
        <f t="shared" si="4"/>
        <v>0</v>
      </c>
      <c r="AR37" s="41">
        <f t="shared" si="5"/>
        <v>0</v>
      </c>
      <c r="AS37" s="42">
        <f t="shared" si="6"/>
        <v>0</v>
      </c>
      <c r="AT37" s="43">
        <f t="shared" si="7"/>
        <v>0</v>
      </c>
      <c r="AU37" s="44">
        <f t="shared" si="8"/>
        <v>0</v>
      </c>
      <c r="AV37" s="39">
        <f t="shared" si="9"/>
        <v>0</v>
      </c>
      <c r="AW37" s="39">
        <f t="shared" si="10"/>
        <v>0</v>
      </c>
      <c r="AX37" s="39">
        <f t="shared" si="11"/>
        <v>0</v>
      </c>
      <c r="AY37" s="39">
        <f t="shared" si="12"/>
        <v>0</v>
      </c>
      <c r="AZ37" s="45">
        <f t="shared" si="13"/>
        <v>0</v>
      </c>
      <c r="BA37" s="46">
        <f t="shared" si="14"/>
        <v>0</v>
      </c>
      <c r="BB37" s="47">
        <f t="shared" si="15"/>
        <v>0</v>
      </c>
      <c r="BC37" s="69"/>
    </row>
    <row r="38" spans="1:55" x14ac:dyDescent="0.3">
      <c r="BC38" s="69"/>
    </row>
    <row r="39" spans="1:55" x14ac:dyDescent="0.3">
      <c r="BC39" s="69"/>
    </row>
    <row r="40" spans="1:55" ht="15" thickBot="1" x14ac:dyDescent="0.35">
      <c r="BC40" s="70"/>
    </row>
    <row r="52" spans="56:69" ht="13.5" customHeight="1" x14ac:dyDescent="0.3"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</row>
    <row r="53" spans="56:69" ht="13.5" customHeight="1" x14ac:dyDescent="0.3"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 spans="56:69" ht="13.5" customHeight="1" x14ac:dyDescent="0.3"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 spans="56:69" ht="13.5" customHeight="1" x14ac:dyDescent="0.3"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 spans="56:69" ht="13.5" customHeight="1" x14ac:dyDescent="0.3"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</row>
  </sheetData>
  <mergeCells count="23">
    <mergeCell ref="BD52:BE56"/>
    <mergeCell ref="BF52:BH56"/>
    <mergeCell ref="BI52:BK56"/>
    <mergeCell ref="BL52:BN56"/>
    <mergeCell ref="BO52:BQ56"/>
    <mergeCell ref="T5:U5"/>
    <mergeCell ref="V5:Z5"/>
    <mergeCell ref="AA5:AB5"/>
    <mergeCell ref="AC5:AG5"/>
    <mergeCell ref="P3:Q3"/>
    <mergeCell ref="A5:E5"/>
    <mergeCell ref="F5:G5"/>
    <mergeCell ref="H5:L5"/>
    <mergeCell ref="M5:N5"/>
    <mergeCell ref="O5:S5"/>
    <mergeCell ref="N3:O3"/>
    <mergeCell ref="AD3:BA3"/>
    <mergeCell ref="A3:B3"/>
    <mergeCell ref="C3:E3"/>
    <mergeCell ref="A2:L2"/>
    <mergeCell ref="F3:G3"/>
    <mergeCell ref="I3:J3"/>
    <mergeCell ref="K3:L3"/>
  </mergeCells>
  <phoneticPr fontId="3" type="noConversion"/>
  <conditionalFormatting sqref="F8:AI17">
    <cfRule type="expression" dxfId="29" priority="2">
      <formula>AND($C8&gt;0,F8="")</formula>
    </cfRule>
  </conditionalFormatting>
  <conditionalFormatting sqref="AJ8:AJ14">
    <cfRule type="expression" dxfId="28" priority="1">
      <formula>AND($C8&gt;0,AJ8="")</formula>
    </cfRule>
  </conditionalFormatting>
  <conditionalFormatting sqref="BB8:BB37">
    <cfRule type="cellIs" dxfId="27" priority="5" operator="notEqual">
      <formula>$K$3</formula>
    </cfRule>
  </conditionalFormatting>
  <pageMargins left="0.11811023622047245" right="0.11811023622047245" top="0.35433070866141736" bottom="0.35433070866141736" header="0.31496062992125984" footer="0.31496062992125984"/>
  <pageSetup paperSize="9" scale="46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pageSetUpPr fitToPage="1"/>
  </sheetPr>
  <dimension ref="A1:BQ54"/>
  <sheetViews>
    <sheetView showGridLines="0" tabSelected="1" view="pageBreakPreview" zoomScaleNormal="100" zoomScaleSheetLayoutView="100" workbookViewId="0">
      <pane xSplit="5" ySplit="7" topLeftCell="F8" activePane="bottomRight" state="frozen"/>
      <selection activeCell="C9" sqref="C9"/>
      <selection pane="topRight" activeCell="C9" sqref="C9"/>
      <selection pane="bottomLeft" activeCell="C9" sqref="C9"/>
      <selection pane="bottomRight" activeCell="T12" sqref="T12"/>
    </sheetView>
  </sheetViews>
  <sheetFormatPr defaultRowHeight="14.25" x14ac:dyDescent="0.3"/>
  <cols>
    <col min="1" max="1" width="4.625" style="1" bestFit="1" customWidth="1"/>
    <col min="2" max="2" width="8" style="1" customWidth="1"/>
    <col min="3" max="3" width="25.625" style="1" bestFit="1" customWidth="1"/>
    <col min="4" max="4" width="5.75" style="1" customWidth="1"/>
    <col min="5" max="5" width="7.25" style="2" customWidth="1"/>
    <col min="6" max="36" width="2.875" style="2" customWidth="1"/>
    <col min="37" max="37" width="0.5" style="3" customWidth="1"/>
    <col min="38" max="38" width="8.875" style="4" customWidth="1"/>
    <col min="39" max="43" width="5.375" style="4" customWidth="1"/>
    <col min="44" max="54" width="4.625" style="4" customWidth="1"/>
    <col min="55" max="55" width="60.625" style="3" customWidth="1"/>
    <col min="56" max="69" width="3.375" style="3" customWidth="1"/>
    <col min="70" max="80" width="3.875" style="3" customWidth="1"/>
    <col min="81" max="16384" width="9" style="3"/>
  </cols>
  <sheetData>
    <row r="1" spans="1:66" ht="10.5" customHeight="1" x14ac:dyDescent="0.3">
      <c r="AU1" s="5"/>
      <c r="AV1" s="5"/>
      <c r="AW1" s="5"/>
      <c r="AX1" s="5"/>
      <c r="AY1" s="5"/>
      <c r="AZ1" s="5"/>
      <c r="BA1" s="5"/>
      <c r="BB1" s="6"/>
    </row>
    <row r="2" spans="1:66" ht="28.5" customHeight="1" thickBot="1" x14ac:dyDescent="0.35">
      <c r="A2" s="99" t="s">
        <v>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AT2" s="5"/>
      <c r="AU2" s="5"/>
      <c r="AV2" s="5"/>
      <c r="AW2" s="5"/>
      <c r="AX2" s="5"/>
      <c r="AY2" s="5"/>
      <c r="AZ2" s="5"/>
      <c r="BA2" s="5"/>
      <c r="BB2" s="6" t="s">
        <v>1</v>
      </c>
    </row>
    <row r="3" spans="1:66" ht="46.5" customHeight="1" thickBot="1" x14ac:dyDescent="0.35">
      <c r="A3" s="100" t="s">
        <v>38</v>
      </c>
      <c r="B3" s="100"/>
      <c r="C3" s="101" t="s">
        <v>81</v>
      </c>
      <c r="D3" s="100"/>
      <c r="E3" s="102"/>
      <c r="F3" s="103">
        <v>1</v>
      </c>
      <c r="G3" s="104"/>
      <c r="H3" s="7" t="s">
        <v>2</v>
      </c>
      <c r="I3" s="105" t="s">
        <v>3</v>
      </c>
      <c r="J3" s="106"/>
      <c r="K3" s="107">
        <v>26</v>
      </c>
      <c r="L3" s="108"/>
      <c r="M3" s="8" t="s">
        <v>4</v>
      </c>
      <c r="N3" s="89" t="s">
        <v>79</v>
      </c>
      <c r="O3" s="90"/>
      <c r="P3" s="91"/>
      <c r="Q3" s="92"/>
      <c r="R3" s="9" t="s">
        <v>4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93" t="s">
        <v>40</v>
      </c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</row>
    <row r="4" spans="1:66" ht="7.5" customHeight="1" x14ac:dyDescent="0.3"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3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</row>
    <row r="5" spans="1:66" ht="24" customHeight="1" x14ac:dyDescent="0.3">
      <c r="A5" s="94" t="s">
        <v>8</v>
      </c>
      <c r="B5" s="95"/>
      <c r="C5" s="95"/>
      <c r="D5" s="95"/>
      <c r="E5" s="96"/>
      <c r="F5" s="97" t="s">
        <v>9</v>
      </c>
      <c r="G5" s="97"/>
      <c r="H5" s="97" t="s">
        <v>10</v>
      </c>
      <c r="I5" s="97"/>
      <c r="J5" s="97"/>
      <c r="K5" s="97"/>
      <c r="L5" s="97"/>
      <c r="M5" s="97" t="s">
        <v>11</v>
      </c>
      <c r="N5" s="97"/>
      <c r="O5" s="97" t="s">
        <v>12</v>
      </c>
      <c r="P5" s="97"/>
      <c r="Q5" s="97"/>
      <c r="R5" s="97"/>
      <c r="S5" s="97"/>
      <c r="T5" s="97" t="s">
        <v>13</v>
      </c>
      <c r="U5" s="97"/>
      <c r="V5" s="97" t="s">
        <v>14</v>
      </c>
      <c r="W5" s="97"/>
      <c r="X5" s="97"/>
      <c r="Y5" s="97"/>
      <c r="Z5" s="98"/>
      <c r="AA5" s="86"/>
      <c r="AB5" s="87"/>
      <c r="AC5" s="88"/>
      <c r="AD5" s="87"/>
      <c r="AE5" s="87"/>
      <c r="AF5" s="87"/>
      <c r="AG5" s="87"/>
      <c r="AH5" s="13"/>
      <c r="AI5" s="13"/>
      <c r="AJ5" s="13"/>
      <c r="AL5" s="16" t="s">
        <v>15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3"/>
      <c r="AX5" s="3"/>
      <c r="AY5" s="2"/>
      <c r="AZ5" s="2"/>
      <c r="BA5" s="3"/>
      <c r="BB5" s="11" t="s">
        <v>7</v>
      </c>
    </row>
    <row r="6" spans="1:66" ht="9" customHeight="1" thickBot="1" x14ac:dyDescent="0.35">
      <c r="A6" s="17"/>
      <c r="B6" s="17"/>
      <c r="C6" s="17"/>
      <c r="D6" s="17"/>
      <c r="E6" s="18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"/>
      <c r="AB6" s="1"/>
      <c r="AC6" s="20"/>
      <c r="AD6" s="1"/>
      <c r="AE6" s="1"/>
      <c r="AF6" s="1"/>
      <c r="AG6" s="1"/>
      <c r="AH6" s="13"/>
      <c r="AI6" s="13"/>
      <c r="AJ6" s="13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16"/>
      <c r="AX6" s="3"/>
      <c r="AY6" s="2"/>
      <c r="AZ6" s="2"/>
      <c r="BA6" s="22"/>
      <c r="BB6" s="2"/>
    </row>
    <row r="7" spans="1:66" ht="30" customHeight="1" x14ac:dyDescent="0.3">
      <c r="A7" s="80" t="s">
        <v>16</v>
      </c>
      <c r="B7" s="81" t="s">
        <v>17</v>
      </c>
      <c r="C7" s="24" t="s">
        <v>18</v>
      </c>
      <c r="D7" s="24" t="s">
        <v>19</v>
      </c>
      <c r="E7" s="25" t="s">
        <v>20</v>
      </c>
      <c r="F7" s="77">
        <v>1</v>
      </c>
      <c r="G7" s="75">
        <v>2</v>
      </c>
      <c r="H7" s="76">
        <v>3</v>
      </c>
      <c r="I7" s="77">
        <v>4</v>
      </c>
      <c r="J7" s="75">
        <v>5</v>
      </c>
      <c r="K7" s="75">
        <v>6</v>
      </c>
      <c r="L7" s="75">
        <v>7</v>
      </c>
      <c r="M7" s="75">
        <v>8</v>
      </c>
      <c r="N7" s="75">
        <v>9</v>
      </c>
      <c r="O7" s="76">
        <v>10</v>
      </c>
      <c r="P7" s="77">
        <v>11</v>
      </c>
      <c r="Q7" s="75">
        <v>12</v>
      </c>
      <c r="R7" s="75">
        <v>13</v>
      </c>
      <c r="S7" s="75">
        <v>14</v>
      </c>
      <c r="T7" s="75">
        <v>15</v>
      </c>
      <c r="U7" s="75">
        <v>16</v>
      </c>
      <c r="V7" s="76">
        <v>17</v>
      </c>
      <c r="W7" s="77">
        <v>18</v>
      </c>
      <c r="X7" s="75">
        <v>19</v>
      </c>
      <c r="Y7" s="75">
        <v>20</v>
      </c>
      <c r="Z7" s="75">
        <v>21</v>
      </c>
      <c r="AA7" s="75">
        <v>22</v>
      </c>
      <c r="AB7" s="75">
        <v>23</v>
      </c>
      <c r="AC7" s="76">
        <v>24</v>
      </c>
      <c r="AD7" s="77">
        <v>25</v>
      </c>
      <c r="AE7" s="75">
        <v>26</v>
      </c>
      <c r="AF7" s="75">
        <v>27</v>
      </c>
      <c r="AG7" s="75">
        <v>28</v>
      </c>
      <c r="AH7" s="75">
        <v>29</v>
      </c>
      <c r="AI7" s="75">
        <v>30</v>
      </c>
      <c r="AJ7" s="76">
        <v>31</v>
      </c>
      <c r="AL7" s="26" t="s">
        <v>80</v>
      </c>
      <c r="AM7" s="27" t="s">
        <v>9</v>
      </c>
      <c r="AN7" s="28" t="s">
        <v>22</v>
      </c>
      <c r="AO7" s="28" t="s">
        <v>23</v>
      </c>
      <c r="AP7" s="28" t="s">
        <v>24</v>
      </c>
      <c r="AQ7" s="29" t="s">
        <v>25</v>
      </c>
      <c r="AR7" s="55" t="s">
        <v>26</v>
      </c>
      <c r="AS7" s="56" t="s">
        <v>27</v>
      </c>
      <c r="AT7" s="57" t="s">
        <v>28</v>
      </c>
      <c r="AU7" s="30" t="s">
        <v>29</v>
      </c>
      <c r="AV7" s="31" t="s">
        <v>30</v>
      </c>
      <c r="AW7" s="31" t="s">
        <v>31</v>
      </c>
      <c r="AX7" s="31" t="s">
        <v>32</v>
      </c>
      <c r="AY7" s="31" t="s">
        <v>33</v>
      </c>
      <c r="AZ7" s="32" t="s">
        <v>34</v>
      </c>
      <c r="BA7" s="33" t="s">
        <v>35</v>
      </c>
      <c r="BB7" s="34" t="s">
        <v>36</v>
      </c>
      <c r="BC7" s="67" t="s">
        <v>39</v>
      </c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 spans="1:66" ht="30" customHeight="1" x14ac:dyDescent="0.3">
      <c r="A8" s="35">
        <v>1</v>
      </c>
      <c r="B8" s="36" t="s">
        <v>41</v>
      </c>
      <c r="C8" s="71" t="s">
        <v>78</v>
      </c>
      <c r="D8" s="58"/>
      <c r="E8" s="72"/>
      <c r="F8" s="74" t="s">
        <v>82</v>
      </c>
      <c r="G8" s="74" t="s">
        <v>83</v>
      </c>
      <c r="H8" s="82" t="s">
        <v>82</v>
      </c>
      <c r="I8" s="82" t="s">
        <v>84</v>
      </c>
      <c r="J8" s="82" t="s">
        <v>83</v>
      </c>
      <c r="K8" s="82" t="s">
        <v>83</v>
      </c>
      <c r="L8" s="82" t="s">
        <v>85</v>
      </c>
      <c r="M8" s="82" t="s">
        <v>86</v>
      </c>
      <c r="N8" s="82" t="s">
        <v>86</v>
      </c>
      <c r="O8" s="82" t="s">
        <v>87</v>
      </c>
      <c r="P8" s="82" t="s">
        <v>88</v>
      </c>
      <c r="Q8" s="82" t="s">
        <v>83</v>
      </c>
      <c r="R8" s="82" t="s">
        <v>83</v>
      </c>
      <c r="S8" s="82" t="s">
        <v>85</v>
      </c>
      <c r="T8" s="82" t="s">
        <v>86</v>
      </c>
      <c r="U8" s="82" t="s">
        <v>86</v>
      </c>
      <c r="V8" s="82" t="s">
        <v>87</v>
      </c>
      <c r="W8" s="82" t="s">
        <v>88</v>
      </c>
      <c r="X8" s="82" t="s">
        <v>83</v>
      </c>
      <c r="Y8" s="82" t="s">
        <v>83</v>
      </c>
      <c r="Z8" s="82" t="s">
        <v>85</v>
      </c>
      <c r="AA8" s="82" t="s">
        <v>86</v>
      </c>
      <c r="AB8" s="82" t="s">
        <v>86</v>
      </c>
      <c r="AC8" s="82" t="s">
        <v>87</v>
      </c>
      <c r="AD8" s="82" t="s">
        <v>88</v>
      </c>
      <c r="AE8" s="82" t="s">
        <v>83</v>
      </c>
      <c r="AF8" s="82" t="s">
        <v>83</v>
      </c>
      <c r="AG8" s="82" t="s">
        <v>85</v>
      </c>
      <c r="AH8" s="82" t="s">
        <v>86</v>
      </c>
      <c r="AI8" s="82" t="s">
        <v>86</v>
      </c>
      <c r="AJ8" s="82" t="s">
        <v>88</v>
      </c>
      <c r="AL8" s="37"/>
      <c r="AM8" s="38">
        <f t="shared" ref="AM8:AM35" si="0">COUNTIF(F8:AJ8,"주")</f>
        <v>0</v>
      </c>
      <c r="AN8" s="39">
        <f t="shared" ref="AN8:AN35" si="1">COUNTIF(F8:AJ8,"A")</f>
        <v>21</v>
      </c>
      <c r="AO8" s="39">
        <f t="shared" ref="AO8:AO35" si="2">COUNTIF(F8:AJ8,"B")</f>
        <v>0</v>
      </c>
      <c r="AP8" s="39">
        <f t="shared" ref="AP8:AP35" si="3">COUNTIF(F8:AJ8,"C")</f>
        <v>0</v>
      </c>
      <c r="AQ8" s="40">
        <f t="shared" ref="AQ8:AQ35" si="4">COUNTIF(F8:AJ8,"D")</f>
        <v>0</v>
      </c>
      <c r="AR8" s="41">
        <f>+SUM(AN8:AQ8)</f>
        <v>21</v>
      </c>
      <c r="AS8" s="42">
        <f>MAX(SUM(AO8:AO8)-AL8,0)</f>
        <v>0</v>
      </c>
      <c r="AT8" s="43">
        <f>+SUM(AM8:AQ8)</f>
        <v>21</v>
      </c>
      <c r="AU8" s="44">
        <f>COUNTIF(F8:AJ8,"휴")</f>
        <v>10</v>
      </c>
      <c r="AV8" s="39">
        <f t="shared" ref="AV8:AV35" si="5">COUNTIF(F8:AJ8,"대")</f>
        <v>0</v>
      </c>
      <c r="AW8" s="39">
        <f t="shared" ref="AW8:AW35" si="6">COUNTIF(F8:AJ8,"연")</f>
        <v>0</v>
      </c>
      <c r="AX8" s="39">
        <f t="shared" ref="AX8:AX35" si="7">COUNTIF(F8:AJ8,"경")</f>
        <v>0</v>
      </c>
      <c r="AY8" s="39">
        <f t="shared" ref="AY8:AY35" si="8">COUNTIF(F8:AJ8,"코")</f>
        <v>0</v>
      </c>
      <c r="AZ8" s="45">
        <f t="shared" ref="AZ8:AZ35" si="9">COUNTIF(F8:AJ8,"공")</f>
        <v>0</v>
      </c>
      <c r="BA8" s="46">
        <f t="shared" ref="BA8:BA35" si="10">+SUM(AU8:AZ8)</f>
        <v>10</v>
      </c>
      <c r="BB8" s="47">
        <f t="shared" ref="BB8:BB35" si="11">+AT8+BA8</f>
        <v>31</v>
      </c>
      <c r="BC8" s="69"/>
    </row>
    <row r="9" spans="1:66" ht="30" customHeight="1" x14ac:dyDescent="0.3">
      <c r="A9" s="35">
        <v>2</v>
      </c>
      <c r="B9" s="36" t="s">
        <v>41</v>
      </c>
      <c r="C9" s="71" t="s">
        <v>78</v>
      </c>
      <c r="D9" s="53"/>
      <c r="E9" s="73"/>
      <c r="F9" s="74" t="s">
        <v>89</v>
      </c>
      <c r="G9" s="74" t="s">
        <v>86</v>
      </c>
      <c r="H9" s="82" t="s">
        <v>82</v>
      </c>
      <c r="I9" s="82" t="s">
        <v>88</v>
      </c>
      <c r="J9" s="82" t="s">
        <v>85</v>
      </c>
      <c r="K9" s="82" t="s">
        <v>90</v>
      </c>
      <c r="L9" s="82" t="s">
        <v>86</v>
      </c>
      <c r="M9" s="82" t="s">
        <v>86</v>
      </c>
      <c r="N9" s="82" t="s">
        <v>86</v>
      </c>
      <c r="O9" s="82" t="s">
        <v>96</v>
      </c>
      <c r="P9" s="82" t="s">
        <v>88</v>
      </c>
      <c r="Q9" s="74" t="s">
        <v>86</v>
      </c>
      <c r="R9" s="74" t="s">
        <v>83</v>
      </c>
      <c r="S9" s="74" t="s">
        <v>94</v>
      </c>
      <c r="T9" s="74" t="s">
        <v>95</v>
      </c>
      <c r="U9" s="74" t="s">
        <v>86</v>
      </c>
      <c r="V9" s="74" t="s">
        <v>96</v>
      </c>
      <c r="W9" s="74" t="s">
        <v>91</v>
      </c>
      <c r="X9" s="74" t="s">
        <v>86</v>
      </c>
      <c r="Y9" s="74" t="s">
        <v>86</v>
      </c>
      <c r="Z9" s="74" t="s">
        <v>90</v>
      </c>
      <c r="AA9" s="74" t="s">
        <v>83</v>
      </c>
      <c r="AB9" s="74" t="s">
        <v>86</v>
      </c>
      <c r="AC9" s="74" t="s">
        <v>96</v>
      </c>
      <c r="AD9" s="74" t="s">
        <v>92</v>
      </c>
      <c r="AE9" s="74" t="s">
        <v>85</v>
      </c>
      <c r="AF9" s="74" t="s">
        <v>95</v>
      </c>
      <c r="AG9" s="74" t="s">
        <v>83</v>
      </c>
      <c r="AH9" s="74" t="s">
        <v>97</v>
      </c>
      <c r="AI9" s="74" t="s">
        <v>90</v>
      </c>
      <c r="AJ9" s="74" t="s">
        <v>93</v>
      </c>
      <c r="AL9" s="37"/>
      <c r="AM9" s="38">
        <f t="shared" si="0"/>
        <v>0</v>
      </c>
      <c r="AN9" s="39">
        <f t="shared" si="1"/>
        <v>18</v>
      </c>
      <c r="AO9" s="39">
        <f t="shared" si="2"/>
        <v>0</v>
      </c>
      <c r="AP9" s="39">
        <f t="shared" si="3"/>
        <v>3</v>
      </c>
      <c r="AQ9" s="40">
        <f t="shared" si="4"/>
        <v>0</v>
      </c>
      <c r="AR9" s="41">
        <f t="shared" ref="AR9:AR35" si="12">+SUM(AN9:AQ9)</f>
        <v>21</v>
      </c>
      <c r="AS9" s="42">
        <f t="shared" ref="AS9:AS35" si="13">MAX(SUM(AO9:AO9)-AL9,0)</f>
        <v>0</v>
      </c>
      <c r="AT9" s="43">
        <f t="shared" ref="AT9:AT35" si="14">+SUM(AM9:AQ9)</f>
        <v>21</v>
      </c>
      <c r="AU9" s="44">
        <f t="shared" ref="AU9:AU35" si="15">COUNTIF(F9:AJ9,"휴")</f>
        <v>7</v>
      </c>
      <c r="AV9" s="39">
        <f t="shared" si="5"/>
        <v>3</v>
      </c>
      <c r="AW9" s="39">
        <f t="shared" si="6"/>
        <v>0</v>
      </c>
      <c r="AX9" s="39">
        <f t="shared" si="7"/>
        <v>0</v>
      </c>
      <c r="AY9" s="39">
        <f t="shared" si="8"/>
        <v>0</v>
      </c>
      <c r="AZ9" s="45">
        <f t="shared" si="9"/>
        <v>0</v>
      </c>
      <c r="BA9" s="46">
        <f t="shared" si="10"/>
        <v>10</v>
      </c>
      <c r="BB9" s="47">
        <f t="shared" si="11"/>
        <v>31</v>
      </c>
      <c r="BC9" s="69"/>
    </row>
    <row r="10" spans="1:66" ht="30" customHeight="1" x14ac:dyDescent="0.3">
      <c r="A10" s="35">
        <v>3</v>
      </c>
      <c r="B10" s="36" t="s">
        <v>41</v>
      </c>
      <c r="C10" s="71" t="s">
        <v>78</v>
      </c>
      <c r="D10" s="53"/>
      <c r="E10" s="73"/>
      <c r="F10" s="74" t="s">
        <v>82</v>
      </c>
      <c r="G10" s="74" t="s">
        <v>85</v>
      </c>
      <c r="H10" s="82" t="s">
        <v>96</v>
      </c>
      <c r="I10" s="82" t="s">
        <v>98</v>
      </c>
      <c r="J10" s="82" t="s">
        <v>86</v>
      </c>
      <c r="K10" s="82" t="s">
        <v>99</v>
      </c>
      <c r="L10" s="82" t="s">
        <v>100</v>
      </c>
      <c r="M10" s="82" t="s">
        <v>100</v>
      </c>
      <c r="N10" s="82" t="s">
        <v>86</v>
      </c>
      <c r="O10" s="82" t="s">
        <v>101</v>
      </c>
      <c r="P10" s="82" t="s">
        <v>82</v>
      </c>
      <c r="Q10" s="74" t="s">
        <v>86</v>
      </c>
      <c r="R10" s="74" t="s">
        <v>95</v>
      </c>
      <c r="S10" s="74" t="s">
        <v>102</v>
      </c>
      <c r="T10" s="74" t="s">
        <v>103</v>
      </c>
      <c r="U10" s="74" t="s">
        <v>104</v>
      </c>
      <c r="V10" s="74" t="s">
        <v>92</v>
      </c>
      <c r="W10" s="74" t="s">
        <v>82</v>
      </c>
      <c r="X10" s="74" t="s">
        <v>105</v>
      </c>
      <c r="Y10" s="74" t="s">
        <v>86</v>
      </c>
      <c r="Z10" s="74" t="s">
        <v>83</v>
      </c>
      <c r="AA10" s="74" t="s">
        <v>86</v>
      </c>
      <c r="AB10" s="74" t="s">
        <v>86</v>
      </c>
      <c r="AC10" s="74" t="s">
        <v>129</v>
      </c>
      <c r="AD10" s="74" t="s">
        <v>106</v>
      </c>
      <c r="AE10" s="74" t="s">
        <v>85</v>
      </c>
      <c r="AF10" s="74" t="s">
        <v>107</v>
      </c>
      <c r="AG10" s="74" t="s">
        <v>85</v>
      </c>
      <c r="AH10" s="74" t="s">
        <v>108</v>
      </c>
      <c r="AI10" s="74" t="s">
        <v>86</v>
      </c>
      <c r="AJ10" s="74" t="s">
        <v>109</v>
      </c>
      <c r="AL10" s="37"/>
      <c r="AM10" s="38">
        <f t="shared" si="0"/>
        <v>0</v>
      </c>
      <c r="AN10" s="39">
        <f t="shared" si="1"/>
        <v>16</v>
      </c>
      <c r="AO10" s="39">
        <f t="shared" si="2"/>
        <v>0</v>
      </c>
      <c r="AP10" s="39">
        <f t="shared" si="3"/>
        <v>3</v>
      </c>
      <c r="AQ10" s="40">
        <f t="shared" si="4"/>
        <v>0</v>
      </c>
      <c r="AR10" s="41">
        <f t="shared" si="12"/>
        <v>19</v>
      </c>
      <c r="AS10" s="42">
        <f t="shared" si="13"/>
        <v>0</v>
      </c>
      <c r="AT10" s="43">
        <f t="shared" si="14"/>
        <v>19</v>
      </c>
      <c r="AU10" s="44">
        <f t="shared" si="15"/>
        <v>7</v>
      </c>
      <c r="AV10" s="39">
        <f t="shared" si="5"/>
        <v>2</v>
      </c>
      <c r="AW10" s="39">
        <f t="shared" si="6"/>
        <v>3</v>
      </c>
      <c r="AX10" s="39">
        <f t="shared" si="7"/>
        <v>0</v>
      </c>
      <c r="AY10" s="39">
        <f t="shared" si="8"/>
        <v>0</v>
      </c>
      <c r="AZ10" s="45">
        <f t="shared" si="9"/>
        <v>0</v>
      </c>
      <c r="BA10" s="46">
        <f t="shared" si="10"/>
        <v>12</v>
      </c>
      <c r="BB10" s="47">
        <f t="shared" si="11"/>
        <v>31</v>
      </c>
      <c r="BC10" s="69"/>
    </row>
    <row r="11" spans="1:66" ht="30" customHeight="1" x14ac:dyDescent="0.3">
      <c r="A11" s="35">
        <v>4</v>
      </c>
      <c r="B11" s="36" t="s">
        <v>41</v>
      </c>
      <c r="C11" s="71" t="s">
        <v>78</v>
      </c>
      <c r="D11" s="53"/>
      <c r="E11" s="73"/>
      <c r="F11" s="74" t="s">
        <v>89</v>
      </c>
      <c r="G11" s="74" t="s">
        <v>100</v>
      </c>
      <c r="H11" s="82" t="s">
        <v>110</v>
      </c>
      <c r="I11" s="82" t="s">
        <v>82</v>
      </c>
      <c r="J11" s="82" t="s">
        <v>95</v>
      </c>
      <c r="K11" s="82" t="s">
        <v>95</v>
      </c>
      <c r="L11" s="82" t="s">
        <v>97</v>
      </c>
      <c r="M11" s="82" t="s">
        <v>103</v>
      </c>
      <c r="N11" s="82" t="s">
        <v>83</v>
      </c>
      <c r="O11" s="82" t="s">
        <v>82</v>
      </c>
      <c r="P11" s="82" t="s">
        <v>82</v>
      </c>
      <c r="Q11" s="74" t="s">
        <v>83</v>
      </c>
      <c r="R11" s="74" t="s">
        <v>111</v>
      </c>
      <c r="S11" s="74" t="s">
        <v>97</v>
      </c>
      <c r="T11" s="74" t="s">
        <v>112</v>
      </c>
      <c r="U11" s="74" t="s">
        <v>86</v>
      </c>
      <c r="V11" s="74" t="s">
        <v>82</v>
      </c>
      <c r="W11" s="74" t="s">
        <v>82</v>
      </c>
      <c r="X11" s="74" t="s">
        <v>83</v>
      </c>
      <c r="Y11" s="74" t="s">
        <v>113</v>
      </c>
      <c r="Z11" s="74" t="s">
        <v>83</v>
      </c>
      <c r="AA11" s="74" t="s">
        <v>86</v>
      </c>
      <c r="AB11" s="74" t="s">
        <v>86</v>
      </c>
      <c r="AC11" s="74" t="s">
        <v>96</v>
      </c>
      <c r="AD11" s="74" t="s">
        <v>92</v>
      </c>
      <c r="AE11" s="74" t="s">
        <v>95</v>
      </c>
      <c r="AF11" s="74" t="s">
        <v>114</v>
      </c>
      <c r="AG11" s="74" t="s">
        <v>115</v>
      </c>
      <c r="AH11" s="74" t="s">
        <v>86</v>
      </c>
      <c r="AI11" s="74" t="s">
        <v>116</v>
      </c>
      <c r="AJ11" s="74" t="s">
        <v>96</v>
      </c>
      <c r="AL11" s="37"/>
      <c r="AM11" s="38">
        <f t="shared" si="0"/>
        <v>0</v>
      </c>
      <c r="AN11" s="39">
        <f t="shared" si="1"/>
        <v>18</v>
      </c>
      <c r="AO11" s="39">
        <f t="shared" si="2"/>
        <v>0</v>
      </c>
      <c r="AP11" s="39">
        <f t="shared" si="3"/>
        <v>3</v>
      </c>
      <c r="AQ11" s="40">
        <f t="shared" si="4"/>
        <v>0</v>
      </c>
      <c r="AR11" s="41">
        <f t="shared" si="12"/>
        <v>21</v>
      </c>
      <c r="AS11" s="42">
        <f t="shared" si="13"/>
        <v>0</v>
      </c>
      <c r="AT11" s="43">
        <f t="shared" si="14"/>
        <v>21</v>
      </c>
      <c r="AU11" s="44">
        <f t="shared" si="15"/>
        <v>7</v>
      </c>
      <c r="AV11" s="39">
        <f t="shared" si="5"/>
        <v>3</v>
      </c>
      <c r="AW11" s="39">
        <f t="shared" si="6"/>
        <v>0</v>
      </c>
      <c r="AX11" s="39">
        <f t="shared" si="7"/>
        <v>0</v>
      </c>
      <c r="AY11" s="39">
        <f t="shared" si="8"/>
        <v>0</v>
      </c>
      <c r="AZ11" s="45">
        <f t="shared" si="9"/>
        <v>0</v>
      </c>
      <c r="BA11" s="46">
        <f t="shared" si="10"/>
        <v>10</v>
      </c>
      <c r="BB11" s="47">
        <f t="shared" si="11"/>
        <v>31</v>
      </c>
      <c r="BC11" s="69"/>
    </row>
    <row r="12" spans="1:66" ht="30" customHeight="1" x14ac:dyDescent="0.3">
      <c r="A12" s="35">
        <v>5</v>
      </c>
      <c r="B12" s="36" t="s">
        <v>41</v>
      </c>
      <c r="C12" s="71" t="s">
        <v>78</v>
      </c>
      <c r="D12" s="53"/>
      <c r="E12" s="73"/>
      <c r="F12" s="74" t="s">
        <v>82</v>
      </c>
      <c r="G12" s="74" t="s">
        <v>95</v>
      </c>
      <c r="H12" s="82" t="s">
        <v>101</v>
      </c>
      <c r="I12" s="82" t="s">
        <v>88</v>
      </c>
      <c r="J12" s="82" t="s">
        <v>86</v>
      </c>
      <c r="K12" s="82" t="s">
        <v>117</v>
      </c>
      <c r="L12" s="82" t="s">
        <v>83</v>
      </c>
      <c r="M12" s="82" t="s">
        <v>85</v>
      </c>
      <c r="N12" s="82" t="s">
        <v>118</v>
      </c>
      <c r="O12" s="82" t="s">
        <v>82</v>
      </c>
      <c r="P12" s="82" t="s">
        <v>82</v>
      </c>
      <c r="Q12" s="74" t="s">
        <v>119</v>
      </c>
      <c r="R12" s="74" t="s">
        <v>120</v>
      </c>
      <c r="S12" s="74" t="s">
        <v>121</v>
      </c>
      <c r="T12" s="74" t="s">
        <v>100</v>
      </c>
      <c r="U12" s="74" t="s">
        <v>95</v>
      </c>
      <c r="V12" s="74" t="s">
        <v>96</v>
      </c>
      <c r="W12" s="74" t="s">
        <v>89</v>
      </c>
      <c r="X12" s="74" t="s">
        <v>122</v>
      </c>
      <c r="Y12" s="74" t="s">
        <v>86</v>
      </c>
      <c r="Z12" s="74" t="s">
        <v>95</v>
      </c>
      <c r="AA12" s="74" t="s">
        <v>123</v>
      </c>
      <c r="AB12" s="74" t="s">
        <v>104</v>
      </c>
      <c r="AC12" s="74" t="s">
        <v>101</v>
      </c>
      <c r="AD12" s="74" t="s">
        <v>92</v>
      </c>
      <c r="AE12" s="74" t="s">
        <v>85</v>
      </c>
      <c r="AF12" s="74" t="s">
        <v>97</v>
      </c>
      <c r="AG12" s="74" t="s">
        <v>86</v>
      </c>
      <c r="AH12" s="74" t="s">
        <v>124</v>
      </c>
      <c r="AI12" s="74" t="s">
        <v>86</v>
      </c>
      <c r="AJ12" s="74" t="s">
        <v>125</v>
      </c>
      <c r="AL12" s="37"/>
      <c r="AM12" s="38">
        <f t="shared" si="0"/>
        <v>0</v>
      </c>
      <c r="AN12" s="39">
        <f t="shared" si="1"/>
        <v>17</v>
      </c>
      <c r="AO12" s="39">
        <f t="shared" si="2"/>
        <v>0</v>
      </c>
      <c r="AP12" s="39">
        <f t="shared" si="3"/>
        <v>3</v>
      </c>
      <c r="AQ12" s="40">
        <f t="shared" si="4"/>
        <v>0</v>
      </c>
      <c r="AR12" s="41">
        <f t="shared" si="12"/>
        <v>20</v>
      </c>
      <c r="AS12" s="42">
        <f t="shared" si="13"/>
        <v>0</v>
      </c>
      <c r="AT12" s="43">
        <f t="shared" si="14"/>
        <v>20</v>
      </c>
      <c r="AU12" s="44">
        <f t="shared" si="15"/>
        <v>7</v>
      </c>
      <c r="AV12" s="39">
        <f t="shared" si="5"/>
        <v>2</v>
      </c>
      <c r="AW12" s="39">
        <f t="shared" si="6"/>
        <v>2</v>
      </c>
      <c r="AX12" s="39">
        <f t="shared" si="7"/>
        <v>0</v>
      </c>
      <c r="AY12" s="39">
        <f t="shared" si="8"/>
        <v>0</v>
      </c>
      <c r="AZ12" s="45">
        <f t="shared" si="9"/>
        <v>0</v>
      </c>
      <c r="BA12" s="46">
        <f t="shared" si="10"/>
        <v>11</v>
      </c>
      <c r="BB12" s="47">
        <f t="shared" si="11"/>
        <v>31</v>
      </c>
      <c r="BC12" s="69"/>
    </row>
    <row r="13" spans="1:66" ht="30" customHeight="1" x14ac:dyDescent="0.3">
      <c r="A13" s="35">
        <v>6</v>
      </c>
      <c r="B13" s="36" t="s">
        <v>41</v>
      </c>
      <c r="C13" s="71" t="s">
        <v>78</v>
      </c>
      <c r="D13" s="53"/>
      <c r="E13" s="73"/>
      <c r="F13" s="74" t="s">
        <v>89</v>
      </c>
      <c r="G13" s="74" t="s">
        <v>126</v>
      </c>
      <c r="H13" s="82" t="s">
        <v>91</v>
      </c>
      <c r="I13" s="82" t="s">
        <v>82</v>
      </c>
      <c r="J13" s="82" t="s">
        <v>95</v>
      </c>
      <c r="K13" s="82" t="s">
        <v>86</v>
      </c>
      <c r="L13" s="82" t="s">
        <v>104</v>
      </c>
      <c r="M13" s="82" t="s">
        <v>83</v>
      </c>
      <c r="N13" s="82" t="s">
        <v>127</v>
      </c>
      <c r="O13" s="82" t="s">
        <v>101</v>
      </c>
      <c r="P13" s="82" t="s">
        <v>82</v>
      </c>
      <c r="Q13" s="74" t="s">
        <v>95</v>
      </c>
      <c r="R13" s="74" t="s">
        <v>111</v>
      </c>
      <c r="S13" s="74" t="s">
        <v>86</v>
      </c>
      <c r="T13" s="74" t="s">
        <v>117</v>
      </c>
      <c r="U13" s="74" t="s">
        <v>86</v>
      </c>
      <c r="V13" s="74" t="s">
        <v>128</v>
      </c>
      <c r="W13" s="74" t="s">
        <v>129</v>
      </c>
      <c r="X13" s="74" t="s">
        <v>86</v>
      </c>
      <c r="Y13" s="74" t="s">
        <v>130</v>
      </c>
      <c r="Z13" s="74" t="s">
        <v>97</v>
      </c>
      <c r="AA13" s="74" t="s">
        <v>86</v>
      </c>
      <c r="AB13" s="74" t="s">
        <v>95</v>
      </c>
      <c r="AC13" s="74" t="s">
        <v>92</v>
      </c>
      <c r="AD13" s="74" t="s">
        <v>82</v>
      </c>
      <c r="AE13" s="74" t="s">
        <v>95</v>
      </c>
      <c r="AF13" s="74" t="s">
        <v>123</v>
      </c>
      <c r="AG13" s="74" t="s">
        <v>86</v>
      </c>
      <c r="AH13" s="74" t="s">
        <v>121</v>
      </c>
      <c r="AI13" s="74" t="s">
        <v>117</v>
      </c>
      <c r="AJ13" s="74" t="s">
        <v>101</v>
      </c>
      <c r="AL13" s="37"/>
      <c r="AM13" s="38">
        <f t="shared" si="0"/>
        <v>0</v>
      </c>
      <c r="AN13" s="39">
        <f t="shared" si="1"/>
        <v>18</v>
      </c>
      <c r="AO13" s="39">
        <f t="shared" si="2"/>
        <v>0</v>
      </c>
      <c r="AP13" s="39">
        <f t="shared" si="3"/>
        <v>3</v>
      </c>
      <c r="AQ13" s="40">
        <f t="shared" si="4"/>
        <v>0</v>
      </c>
      <c r="AR13" s="41">
        <f t="shared" si="12"/>
        <v>21</v>
      </c>
      <c r="AS13" s="42">
        <f t="shared" si="13"/>
        <v>0</v>
      </c>
      <c r="AT13" s="43">
        <f t="shared" si="14"/>
        <v>21</v>
      </c>
      <c r="AU13" s="44">
        <f t="shared" si="15"/>
        <v>7</v>
      </c>
      <c r="AV13" s="39">
        <f t="shared" si="5"/>
        <v>2</v>
      </c>
      <c r="AW13" s="39">
        <f t="shared" si="6"/>
        <v>1</v>
      </c>
      <c r="AX13" s="39">
        <f t="shared" si="7"/>
        <v>0</v>
      </c>
      <c r="AY13" s="39">
        <f t="shared" si="8"/>
        <v>0</v>
      </c>
      <c r="AZ13" s="45">
        <f t="shared" si="9"/>
        <v>0</v>
      </c>
      <c r="BA13" s="46">
        <f t="shared" si="10"/>
        <v>10</v>
      </c>
      <c r="BB13" s="47">
        <f t="shared" si="11"/>
        <v>31</v>
      </c>
      <c r="BC13" s="69"/>
    </row>
    <row r="14" spans="1:66" ht="30" customHeight="1" x14ac:dyDescent="0.3">
      <c r="A14" s="35">
        <v>8</v>
      </c>
      <c r="B14" s="36"/>
      <c r="C14" s="71"/>
      <c r="D14" s="53"/>
      <c r="E14" s="73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1"/>
      <c r="AL14" s="37"/>
      <c r="AM14" s="38">
        <f t="shared" si="0"/>
        <v>0</v>
      </c>
      <c r="AN14" s="39">
        <f t="shared" si="1"/>
        <v>0</v>
      </c>
      <c r="AO14" s="39">
        <f t="shared" si="2"/>
        <v>0</v>
      </c>
      <c r="AP14" s="39">
        <f t="shared" si="3"/>
        <v>0</v>
      </c>
      <c r="AQ14" s="40">
        <f t="shared" si="4"/>
        <v>0</v>
      </c>
      <c r="AR14" s="41">
        <f t="shared" si="12"/>
        <v>0</v>
      </c>
      <c r="AS14" s="42">
        <f t="shared" si="13"/>
        <v>0</v>
      </c>
      <c r="AT14" s="43">
        <f t="shared" si="14"/>
        <v>0</v>
      </c>
      <c r="AU14" s="44">
        <f t="shared" si="15"/>
        <v>0</v>
      </c>
      <c r="AV14" s="39">
        <f t="shared" si="5"/>
        <v>0</v>
      </c>
      <c r="AW14" s="39">
        <f t="shared" si="6"/>
        <v>0</v>
      </c>
      <c r="AX14" s="39">
        <f t="shared" si="7"/>
        <v>0</v>
      </c>
      <c r="AY14" s="39">
        <f t="shared" si="8"/>
        <v>0</v>
      </c>
      <c r="AZ14" s="45">
        <f t="shared" si="9"/>
        <v>0</v>
      </c>
      <c r="BA14" s="46">
        <f t="shared" si="10"/>
        <v>0</v>
      </c>
      <c r="BB14" s="47">
        <f t="shared" si="11"/>
        <v>0</v>
      </c>
      <c r="BC14" s="69"/>
    </row>
    <row r="15" spans="1:66" ht="27" customHeight="1" x14ac:dyDescent="0.3">
      <c r="A15" s="35">
        <v>9</v>
      </c>
      <c r="B15" s="36"/>
      <c r="C15" s="71"/>
      <c r="D15" s="53"/>
      <c r="E15" s="73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1"/>
      <c r="AL15" s="37"/>
      <c r="AM15" s="38">
        <f t="shared" si="0"/>
        <v>0</v>
      </c>
      <c r="AN15" s="39">
        <f t="shared" si="1"/>
        <v>0</v>
      </c>
      <c r="AO15" s="39">
        <f t="shared" si="2"/>
        <v>0</v>
      </c>
      <c r="AP15" s="39">
        <f t="shared" si="3"/>
        <v>0</v>
      </c>
      <c r="AQ15" s="40">
        <f t="shared" si="4"/>
        <v>0</v>
      </c>
      <c r="AR15" s="41">
        <f t="shared" si="12"/>
        <v>0</v>
      </c>
      <c r="AS15" s="42">
        <f t="shared" si="13"/>
        <v>0</v>
      </c>
      <c r="AT15" s="43">
        <f t="shared" si="14"/>
        <v>0</v>
      </c>
      <c r="AU15" s="44">
        <f t="shared" si="15"/>
        <v>0</v>
      </c>
      <c r="AV15" s="39">
        <f t="shared" si="5"/>
        <v>0</v>
      </c>
      <c r="AW15" s="39">
        <f t="shared" si="6"/>
        <v>0</v>
      </c>
      <c r="AX15" s="39">
        <f t="shared" si="7"/>
        <v>0</v>
      </c>
      <c r="AY15" s="39">
        <f t="shared" si="8"/>
        <v>0</v>
      </c>
      <c r="AZ15" s="45">
        <f t="shared" si="9"/>
        <v>0</v>
      </c>
      <c r="BA15" s="46">
        <f t="shared" si="10"/>
        <v>0</v>
      </c>
      <c r="BB15" s="47">
        <f t="shared" si="11"/>
        <v>0</v>
      </c>
      <c r="BC15" s="69"/>
    </row>
    <row r="16" spans="1:66" ht="27" customHeight="1" x14ac:dyDescent="0.3">
      <c r="A16" s="35">
        <v>10</v>
      </c>
      <c r="B16" s="48"/>
      <c r="C16" s="52"/>
      <c r="D16" s="53"/>
      <c r="E16" s="49"/>
      <c r="F16" s="54"/>
      <c r="G16" s="50"/>
      <c r="H16" s="50"/>
      <c r="I16" s="50"/>
      <c r="J16" s="54"/>
      <c r="K16" s="50"/>
      <c r="L16" s="54"/>
      <c r="M16" s="50"/>
      <c r="N16" s="50"/>
      <c r="O16" s="50"/>
      <c r="P16" s="50"/>
      <c r="Q16" s="50"/>
      <c r="R16" s="50"/>
      <c r="S16" s="54"/>
      <c r="T16" s="50"/>
      <c r="U16" s="50"/>
      <c r="V16" s="50"/>
      <c r="W16" s="50"/>
      <c r="X16" s="50"/>
      <c r="Y16" s="50"/>
      <c r="Z16" s="54"/>
      <c r="AA16" s="50"/>
      <c r="AB16" s="50"/>
      <c r="AC16" s="50"/>
      <c r="AD16" s="50"/>
      <c r="AE16" s="50"/>
      <c r="AF16" s="54"/>
      <c r="AG16" s="54"/>
      <c r="AH16" s="54"/>
      <c r="AI16" s="50"/>
      <c r="AJ16" s="51"/>
      <c r="AL16" s="37"/>
      <c r="AM16" s="38">
        <f t="shared" si="0"/>
        <v>0</v>
      </c>
      <c r="AN16" s="39">
        <f t="shared" si="1"/>
        <v>0</v>
      </c>
      <c r="AO16" s="39">
        <f t="shared" si="2"/>
        <v>0</v>
      </c>
      <c r="AP16" s="39">
        <f t="shared" si="3"/>
        <v>0</v>
      </c>
      <c r="AQ16" s="40">
        <f t="shared" si="4"/>
        <v>0</v>
      </c>
      <c r="AR16" s="41">
        <f t="shared" si="12"/>
        <v>0</v>
      </c>
      <c r="AS16" s="42">
        <f t="shared" si="13"/>
        <v>0</v>
      </c>
      <c r="AT16" s="43">
        <f t="shared" si="14"/>
        <v>0</v>
      </c>
      <c r="AU16" s="44">
        <f t="shared" si="15"/>
        <v>0</v>
      </c>
      <c r="AV16" s="39">
        <f t="shared" si="5"/>
        <v>0</v>
      </c>
      <c r="AW16" s="39">
        <f t="shared" si="6"/>
        <v>0</v>
      </c>
      <c r="AX16" s="39">
        <f t="shared" si="7"/>
        <v>0</v>
      </c>
      <c r="AY16" s="39">
        <f t="shared" si="8"/>
        <v>0</v>
      </c>
      <c r="AZ16" s="45">
        <f t="shared" si="9"/>
        <v>0</v>
      </c>
      <c r="BA16" s="46">
        <f t="shared" si="10"/>
        <v>0</v>
      </c>
      <c r="BB16" s="47">
        <f t="shared" si="11"/>
        <v>0</v>
      </c>
      <c r="BC16" s="69"/>
    </row>
    <row r="17" spans="1:67" ht="27" customHeight="1" x14ac:dyDescent="0.3">
      <c r="A17" s="35">
        <v>11</v>
      </c>
      <c r="B17" s="48"/>
      <c r="C17" s="52"/>
      <c r="D17" s="53"/>
      <c r="E17" s="49"/>
      <c r="F17" s="50"/>
      <c r="G17" s="50"/>
      <c r="H17" s="50"/>
      <c r="I17" s="50"/>
      <c r="J17" s="54"/>
      <c r="K17" s="50"/>
      <c r="L17" s="54"/>
      <c r="M17" s="50"/>
      <c r="N17" s="50"/>
      <c r="O17" s="50"/>
      <c r="P17" s="50"/>
      <c r="Q17" s="50"/>
      <c r="R17" s="50"/>
      <c r="S17" s="54"/>
      <c r="U17" s="50"/>
      <c r="V17" s="50"/>
      <c r="W17" s="50"/>
      <c r="X17" s="50"/>
      <c r="Y17" s="50"/>
      <c r="Z17" s="54"/>
      <c r="AA17" s="50"/>
      <c r="AB17" s="50"/>
      <c r="AC17" s="50"/>
      <c r="AD17" s="50"/>
      <c r="AE17" s="50"/>
      <c r="AF17" s="54"/>
      <c r="AG17" s="54"/>
      <c r="AH17" s="54"/>
      <c r="AI17" s="50"/>
      <c r="AJ17" s="51"/>
      <c r="AL17" s="37"/>
      <c r="AM17" s="38">
        <f t="shared" si="0"/>
        <v>0</v>
      </c>
      <c r="AN17" s="39">
        <f t="shared" si="1"/>
        <v>0</v>
      </c>
      <c r="AO17" s="39">
        <f t="shared" si="2"/>
        <v>0</v>
      </c>
      <c r="AP17" s="39">
        <f t="shared" si="3"/>
        <v>0</v>
      </c>
      <c r="AQ17" s="40">
        <f t="shared" si="4"/>
        <v>0</v>
      </c>
      <c r="AR17" s="41">
        <f t="shared" si="12"/>
        <v>0</v>
      </c>
      <c r="AS17" s="42">
        <f t="shared" si="13"/>
        <v>0</v>
      </c>
      <c r="AT17" s="43">
        <f t="shared" si="14"/>
        <v>0</v>
      </c>
      <c r="AU17" s="44">
        <f t="shared" si="15"/>
        <v>0</v>
      </c>
      <c r="AV17" s="39">
        <f t="shared" si="5"/>
        <v>0</v>
      </c>
      <c r="AW17" s="39">
        <f t="shared" si="6"/>
        <v>0</v>
      </c>
      <c r="AX17" s="39">
        <f t="shared" si="7"/>
        <v>0</v>
      </c>
      <c r="AY17" s="39">
        <f t="shared" si="8"/>
        <v>0</v>
      </c>
      <c r="AZ17" s="45">
        <f t="shared" si="9"/>
        <v>0</v>
      </c>
      <c r="BA17" s="46">
        <f t="shared" si="10"/>
        <v>0</v>
      </c>
      <c r="BB17" s="47">
        <f t="shared" si="11"/>
        <v>0</v>
      </c>
      <c r="BC17" s="69"/>
    </row>
    <row r="18" spans="1:67" ht="27" customHeight="1" x14ac:dyDescent="0.3">
      <c r="A18" s="35">
        <v>12</v>
      </c>
      <c r="B18" s="48"/>
      <c r="C18" s="52"/>
      <c r="D18" s="53"/>
      <c r="E18" s="49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1"/>
      <c r="AL18" s="37"/>
      <c r="AM18" s="38">
        <f t="shared" si="0"/>
        <v>0</v>
      </c>
      <c r="AN18" s="39">
        <f t="shared" si="1"/>
        <v>0</v>
      </c>
      <c r="AO18" s="39">
        <f t="shared" si="2"/>
        <v>0</v>
      </c>
      <c r="AP18" s="39">
        <f t="shared" si="3"/>
        <v>0</v>
      </c>
      <c r="AQ18" s="40">
        <f t="shared" si="4"/>
        <v>0</v>
      </c>
      <c r="AR18" s="41">
        <f t="shared" si="12"/>
        <v>0</v>
      </c>
      <c r="AS18" s="42">
        <f t="shared" si="13"/>
        <v>0</v>
      </c>
      <c r="AT18" s="43">
        <f t="shared" si="14"/>
        <v>0</v>
      </c>
      <c r="AU18" s="44">
        <f t="shared" si="15"/>
        <v>0</v>
      </c>
      <c r="AV18" s="39">
        <f t="shared" si="5"/>
        <v>0</v>
      </c>
      <c r="AW18" s="39">
        <f t="shared" si="6"/>
        <v>0</v>
      </c>
      <c r="AX18" s="39">
        <f t="shared" si="7"/>
        <v>0</v>
      </c>
      <c r="AY18" s="39">
        <f t="shared" si="8"/>
        <v>0</v>
      </c>
      <c r="AZ18" s="45">
        <f t="shared" si="9"/>
        <v>0</v>
      </c>
      <c r="BA18" s="46">
        <f t="shared" si="10"/>
        <v>0</v>
      </c>
      <c r="BB18" s="47">
        <f t="shared" si="11"/>
        <v>0</v>
      </c>
      <c r="BC18" s="69"/>
    </row>
    <row r="19" spans="1:67" ht="27" customHeight="1" x14ac:dyDescent="0.3">
      <c r="A19" s="35">
        <v>13</v>
      </c>
      <c r="B19" s="48"/>
      <c r="C19" s="52"/>
      <c r="D19" s="53"/>
      <c r="E19" s="49"/>
      <c r="F19" s="54"/>
      <c r="G19" s="50"/>
      <c r="H19" s="50"/>
      <c r="I19" s="50"/>
      <c r="J19" s="54"/>
      <c r="K19" s="50"/>
      <c r="L19" s="54"/>
      <c r="M19" s="50"/>
      <c r="N19" s="50"/>
      <c r="O19" s="50"/>
      <c r="P19" s="50"/>
      <c r="Q19" s="50"/>
      <c r="R19" s="50"/>
      <c r="S19" s="54"/>
      <c r="T19" s="50"/>
      <c r="U19" s="50"/>
      <c r="V19" s="50"/>
      <c r="W19" s="50"/>
      <c r="X19" s="50"/>
      <c r="Y19" s="50"/>
      <c r="Z19" s="54"/>
      <c r="AA19" s="50"/>
      <c r="AB19" s="50"/>
      <c r="AC19" s="50"/>
      <c r="AD19" s="50"/>
      <c r="AE19" s="50"/>
      <c r="AF19" s="54"/>
      <c r="AG19" s="54"/>
      <c r="AH19" s="54"/>
      <c r="AI19" s="50"/>
      <c r="AJ19" s="51"/>
      <c r="AL19" s="37"/>
      <c r="AM19" s="38">
        <f t="shared" si="0"/>
        <v>0</v>
      </c>
      <c r="AN19" s="39">
        <f t="shared" si="1"/>
        <v>0</v>
      </c>
      <c r="AO19" s="39">
        <f t="shared" si="2"/>
        <v>0</v>
      </c>
      <c r="AP19" s="39">
        <f t="shared" si="3"/>
        <v>0</v>
      </c>
      <c r="AQ19" s="40">
        <f t="shared" si="4"/>
        <v>0</v>
      </c>
      <c r="AR19" s="41">
        <f t="shared" si="12"/>
        <v>0</v>
      </c>
      <c r="AS19" s="42">
        <f t="shared" si="13"/>
        <v>0</v>
      </c>
      <c r="AT19" s="43">
        <f t="shared" si="14"/>
        <v>0</v>
      </c>
      <c r="AU19" s="44">
        <f t="shared" si="15"/>
        <v>0</v>
      </c>
      <c r="AV19" s="39">
        <f t="shared" si="5"/>
        <v>0</v>
      </c>
      <c r="AW19" s="39">
        <f t="shared" si="6"/>
        <v>0</v>
      </c>
      <c r="AX19" s="39">
        <f t="shared" si="7"/>
        <v>0</v>
      </c>
      <c r="AY19" s="39">
        <f t="shared" si="8"/>
        <v>0</v>
      </c>
      <c r="AZ19" s="45">
        <f t="shared" si="9"/>
        <v>0</v>
      </c>
      <c r="BA19" s="46">
        <f t="shared" si="10"/>
        <v>0</v>
      </c>
      <c r="BB19" s="47">
        <f t="shared" si="11"/>
        <v>0</v>
      </c>
      <c r="BC19" s="69"/>
    </row>
    <row r="20" spans="1:67" ht="27" customHeight="1" x14ac:dyDescent="0.3">
      <c r="A20" s="35">
        <v>14</v>
      </c>
      <c r="B20" s="48"/>
      <c r="C20" s="52"/>
      <c r="D20" s="53"/>
      <c r="E20" s="49"/>
      <c r="F20" s="54"/>
      <c r="G20" s="50"/>
      <c r="H20" s="50"/>
      <c r="I20" s="50"/>
      <c r="J20" s="54"/>
      <c r="K20" s="50"/>
      <c r="L20" s="54"/>
      <c r="M20" s="50"/>
      <c r="N20" s="50"/>
      <c r="O20" s="50"/>
      <c r="P20" s="50"/>
      <c r="Q20" s="50"/>
      <c r="R20" s="50"/>
      <c r="S20" s="54"/>
      <c r="T20" s="50"/>
      <c r="U20" s="50"/>
      <c r="V20" s="50"/>
      <c r="W20" s="50"/>
      <c r="X20" s="50"/>
      <c r="Y20" s="50"/>
      <c r="Z20" s="54"/>
      <c r="AA20" s="50"/>
      <c r="AB20" s="50"/>
      <c r="AC20" s="50"/>
      <c r="AD20" s="50"/>
      <c r="AE20" s="50"/>
      <c r="AF20" s="54"/>
      <c r="AG20" s="54"/>
      <c r="AH20" s="54"/>
      <c r="AI20" s="50"/>
      <c r="AJ20" s="51"/>
      <c r="AL20" s="37"/>
      <c r="AM20" s="38">
        <f t="shared" si="0"/>
        <v>0</v>
      </c>
      <c r="AN20" s="39">
        <f t="shared" si="1"/>
        <v>0</v>
      </c>
      <c r="AO20" s="39">
        <f t="shared" si="2"/>
        <v>0</v>
      </c>
      <c r="AP20" s="39">
        <f t="shared" si="3"/>
        <v>0</v>
      </c>
      <c r="AQ20" s="40">
        <f t="shared" si="4"/>
        <v>0</v>
      </c>
      <c r="AR20" s="41">
        <f t="shared" si="12"/>
        <v>0</v>
      </c>
      <c r="AS20" s="42">
        <f t="shared" si="13"/>
        <v>0</v>
      </c>
      <c r="AT20" s="43">
        <f t="shared" si="14"/>
        <v>0</v>
      </c>
      <c r="AU20" s="44">
        <f t="shared" si="15"/>
        <v>0</v>
      </c>
      <c r="AV20" s="39">
        <f t="shared" si="5"/>
        <v>0</v>
      </c>
      <c r="AW20" s="39">
        <f t="shared" si="6"/>
        <v>0</v>
      </c>
      <c r="AX20" s="39">
        <f t="shared" si="7"/>
        <v>0</v>
      </c>
      <c r="AY20" s="39">
        <f t="shared" si="8"/>
        <v>0</v>
      </c>
      <c r="AZ20" s="45">
        <f t="shared" si="9"/>
        <v>0</v>
      </c>
      <c r="BA20" s="46">
        <f t="shared" si="10"/>
        <v>0</v>
      </c>
      <c r="BB20" s="47">
        <f t="shared" si="11"/>
        <v>0</v>
      </c>
      <c r="BC20" s="69"/>
    </row>
    <row r="21" spans="1:67" ht="27" customHeight="1" x14ac:dyDescent="0.3">
      <c r="A21" s="35">
        <v>15</v>
      </c>
      <c r="B21" s="48"/>
      <c r="C21" s="52"/>
      <c r="D21" s="53"/>
      <c r="E21" s="49"/>
      <c r="F21" s="54"/>
      <c r="G21" s="50"/>
      <c r="H21" s="50"/>
      <c r="I21" s="50"/>
      <c r="J21" s="54"/>
      <c r="K21" s="50"/>
      <c r="L21" s="54"/>
      <c r="M21" s="50"/>
      <c r="N21" s="50"/>
      <c r="O21" s="50"/>
      <c r="P21" s="50"/>
      <c r="Q21" s="50"/>
      <c r="R21" s="50"/>
      <c r="S21" s="54"/>
      <c r="T21" s="50"/>
      <c r="U21" s="50"/>
      <c r="V21" s="50"/>
      <c r="W21" s="50"/>
      <c r="X21" s="50"/>
      <c r="Y21" s="50"/>
      <c r="Z21" s="54"/>
      <c r="AA21" s="50"/>
      <c r="AB21" s="50"/>
      <c r="AC21" s="50"/>
      <c r="AD21" s="50"/>
      <c r="AE21" s="50"/>
      <c r="AF21" s="54"/>
      <c r="AG21" s="54"/>
      <c r="AH21" s="54"/>
      <c r="AI21" s="50"/>
      <c r="AJ21" s="51"/>
      <c r="AL21" s="37"/>
      <c r="AM21" s="38">
        <f t="shared" si="0"/>
        <v>0</v>
      </c>
      <c r="AN21" s="39">
        <f t="shared" si="1"/>
        <v>0</v>
      </c>
      <c r="AO21" s="39">
        <f t="shared" si="2"/>
        <v>0</v>
      </c>
      <c r="AP21" s="39">
        <f t="shared" si="3"/>
        <v>0</v>
      </c>
      <c r="AQ21" s="40">
        <f t="shared" si="4"/>
        <v>0</v>
      </c>
      <c r="AR21" s="41">
        <f t="shared" si="12"/>
        <v>0</v>
      </c>
      <c r="AS21" s="42">
        <f t="shared" si="13"/>
        <v>0</v>
      </c>
      <c r="AT21" s="43">
        <f t="shared" si="14"/>
        <v>0</v>
      </c>
      <c r="AU21" s="44">
        <f t="shared" si="15"/>
        <v>0</v>
      </c>
      <c r="AV21" s="39">
        <f t="shared" si="5"/>
        <v>0</v>
      </c>
      <c r="AW21" s="39">
        <f t="shared" si="6"/>
        <v>0</v>
      </c>
      <c r="AX21" s="39">
        <f t="shared" si="7"/>
        <v>0</v>
      </c>
      <c r="AY21" s="39">
        <f t="shared" si="8"/>
        <v>0</v>
      </c>
      <c r="AZ21" s="45">
        <f t="shared" si="9"/>
        <v>0</v>
      </c>
      <c r="BA21" s="46">
        <f t="shared" si="10"/>
        <v>0</v>
      </c>
      <c r="BB21" s="47">
        <f t="shared" si="11"/>
        <v>0</v>
      </c>
      <c r="BC21" s="69"/>
    </row>
    <row r="22" spans="1:67" ht="27" customHeight="1" x14ac:dyDescent="0.3">
      <c r="A22" s="35">
        <v>16</v>
      </c>
      <c r="B22" s="48"/>
      <c r="C22" s="52"/>
      <c r="D22" s="53"/>
      <c r="E22" s="49"/>
      <c r="F22" s="54"/>
      <c r="G22" s="50"/>
      <c r="H22" s="50"/>
      <c r="I22" s="50"/>
      <c r="J22" s="54"/>
      <c r="K22" s="50"/>
      <c r="L22" s="50"/>
      <c r="M22" s="50"/>
      <c r="N22" s="50"/>
      <c r="O22" s="50"/>
      <c r="P22" s="50"/>
      <c r="Q22" s="50"/>
      <c r="R22" s="50"/>
      <c r="S22" s="54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4"/>
      <c r="AG22" s="54"/>
      <c r="AH22" s="54"/>
      <c r="AI22" s="50"/>
      <c r="AJ22" s="51"/>
      <c r="AL22" s="37"/>
      <c r="AM22" s="38">
        <f t="shared" si="0"/>
        <v>0</v>
      </c>
      <c r="AN22" s="39">
        <f t="shared" si="1"/>
        <v>0</v>
      </c>
      <c r="AO22" s="39">
        <f t="shared" si="2"/>
        <v>0</v>
      </c>
      <c r="AP22" s="39">
        <f t="shared" si="3"/>
        <v>0</v>
      </c>
      <c r="AQ22" s="40">
        <f t="shared" si="4"/>
        <v>0</v>
      </c>
      <c r="AR22" s="41">
        <f t="shared" si="12"/>
        <v>0</v>
      </c>
      <c r="AS22" s="42">
        <f t="shared" si="13"/>
        <v>0</v>
      </c>
      <c r="AT22" s="43">
        <f t="shared" si="14"/>
        <v>0</v>
      </c>
      <c r="AU22" s="44">
        <f t="shared" si="15"/>
        <v>0</v>
      </c>
      <c r="AV22" s="39">
        <f t="shared" si="5"/>
        <v>0</v>
      </c>
      <c r="AW22" s="39">
        <f t="shared" si="6"/>
        <v>0</v>
      </c>
      <c r="AX22" s="39">
        <f t="shared" si="7"/>
        <v>0</v>
      </c>
      <c r="AY22" s="39">
        <f t="shared" si="8"/>
        <v>0</v>
      </c>
      <c r="AZ22" s="45">
        <f t="shared" si="9"/>
        <v>0</v>
      </c>
      <c r="BA22" s="46">
        <f t="shared" si="10"/>
        <v>0</v>
      </c>
      <c r="BB22" s="47">
        <f t="shared" si="11"/>
        <v>0</v>
      </c>
      <c r="BC22" s="69"/>
    </row>
    <row r="23" spans="1:67" ht="27" customHeight="1" x14ac:dyDescent="0.3">
      <c r="A23" s="35">
        <v>17</v>
      </c>
      <c r="B23" s="48"/>
      <c r="C23" s="52"/>
      <c r="D23" s="53"/>
      <c r="E23" s="49"/>
      <c r="F23" s="50"/>
      <c r="G23" s="50"/>
      <c r="H23" s="50"/>
      <c r="I23" s="50"/>
      <c r="J23" s="54"/>
      <c r="K23" s="50"/>
      <c r="L23" s="50"/>
      <c r="M23" s="50"/>
      <c r="N23" s="50"/>
      <c r="O23" s="50"/>
      <c r="P23" s="50"/>
      <c r="Q23" s="50"/>
      <c r="R23" s="50"/>
      <c r="S23" s="54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4"/>
      <c r="AG23" s="54"/>
      <c r="AH23" s="54"/>
      <c r="AI23" s="50"/>
      <c r="AJ23" s="51"/>
      <c r="AL23" s="37"/>
      <c r="AM23" s="38">
        <f t="shared" si="0"/>
        <v>0</v>
      </c>
      <c r="AN23" s="39">
        <f t="shared" si="1"/>
        <v>0</v>
      </c>
      <c r="AO23" s="39">
        <f t="shared" si="2"/>
        <v>0</v>
      </c>
      <c r="AP23" s="39">
        <f t="shared" si="3"/>
        <v>0</v>
      </c>
      <c r="AQ23" s="40">
        <f t="shared" si="4"/>
        <v>0</v>
      </c>
      <c r="AR23" s="41">
        <f t="shared" si="12"/>
        <v>0</v>
      </c>
      <c r="AS23" s="42">
        <f t="shared" si="13"/>
        <v>0</v>
      </c>
      <c r="AT23" s="43">
        <f t="shared" si="14"/>
        <v>0</v>
      </c>
      <c r="AU23" s="44">
        <f t="shared" si="15"/>
        <v>0</v>
      </c>
      <c r="AV23" s="39">
        <f t="shared" si="5"/>
        <v>0</v>
      </c>
      <c r="AW23" s="39">
        <f t="shared" si="6"/>
        <v>0</v>
      </c>
      <c r="AX23" s="39">
        <f t="shared" si="7"/>
        <v>0</v>
      </c>
      <c r="AY23" s="39">
        <f t="shared" si="8"/>
        <v>0</v>
      </c>
      <c r="AZ23" s="45">
        <f t="shared" si="9"/>
        <v>0</v>
      </c>
      <c r="BA23" s="46">
        <f t="shared" si="10"/>
        <v>0</v>
      </c>
      <c r="BB23" s="47">
        <f t="shared" si="11"/>
        <v>0</v>
      </c>
      <c r="BC23" s="69"/>
    </row>
    <row r="24" spans="1:67" ht="27" customHeight="1" x14ac:dyDescent="0.3">
      <c r="A24" s="35">
        <v>18</v>
      </c>
      <c r="B24" s="48"/>
      <c r="C24" s="52"/>
      <c r="D24" s="53"/>
      <c r="E24" s="49"/>
      <c r="F24" s="50"/>
      <c r="G24" s="50"/>
      <c r="H24" s="50"/>
      <c r="I24" s="50"/>
      <c r="J24" s="54"/>
      <c r="K24" s="50"/>
      <c r="L24" s="50"/>
      <c r="M24" s="50"/>
      <c r="N24" s="50"/>
      <c r="O24" s="50"/>
      <c r="P24" s="50"/>
      <c r="Q24" s="50"/>
      <c r="R24" s="50"/>
      <c r="S24" s="54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4"/>
      <c r="AG24" s="54"/>
      <c r="AH24" s="54"/>
      <c r="AI24" s="50"/>
      <c r="AJ24" s="51"/>
      <c r="AL24" s="37"/>
      <c r="AM24" s="38">
        <f t="shared" si="0"/>
        <v>0</v>
      </c>
      <c r="AN24" s="39">
        <f t="shared" si="1"/>
        <v>0</v>
      </c>
      <c r="AO24" s="39">
        <f t="shared" si="2"/>
        <v>0</v>
      </c>
      <c r="AP24" s="39">
        <f t="shared" si="3"/>
        <v>0</v>
      </c>
      <c r="AQ24" s="40">
        <f t="shared" si="4"/>
        <v>0</v>
      </c>
      <c r="AR24" s="41">
        <f t="shared" si="12"/>
        <v>0</v>
      </c>
      <c r="AS24" s="42">
        <f t="shared" si="13"/>
        <v>0</v>
      </c>
      <c r="AT24" s="43">
        <f t="shared" si="14"/>
        <v>0</v>
      </c>
      <c r="AU24" s="44">
        <f t="shared" si="15"/>
        <v>0</v>
      </c>
      <c r="AV24" s="39">
        <f t="shared" si="5"/>
        <v>0</v>
      </c>
      <c r="AW24" s="39">
        <f t="shared" si="6"/>
        <v>0</v>
      </c>
      <c r="AX24" s="39">
        <f t="shared" si="7"/>
        <v>0</v>
      </c>
      <c r="AY24" s="39">
        <f t="shared" si="8"/>
        <v>0</v>
      </c>
      <c r="AZ24" s="45">
        <f t="shared" si="9"/>
        <v>0</v>
      </c>
      <c r="BA24" s="46">
        <f t="shared" si="10"/>
        <v>0</v>
      </c>
      <c r="BB24" s="47">
        <f t="shared" si="11"/>
        <v>0</v>
      </c>
      <c r="BC24" s="69"/>
      <c r="BO24" s="3" t="s">
        <v>37</v>
      </c>
    </row>
    <row r="25" spans="1:67" ht="27" customHeight="1" x14ac:dyDescent="0.3">
      <c r="A25" s="35">
        <v>19</v>
      </c>
      <c r="B25" s="48"/>
      <c r="C25" s="52"/>
      <c r="D25" s="53"/>
      <c r="E25" s="49"/>
      <c r="F25" s="54"/>
      <c r="G25" s="50"/>
      <c r="H25" s="50"/>
      <c r="I25" s="50"/>
      <c r="J25" s="54"/>
      <c r="K25" s="50"/>
      <c r="L25" s="54"/>
      <c r="M25" s="50"/>
      <c r="N25" s="50"/>
      <c r="O25" s="50"/>
      <c r="P25" s="50"/>
      <c r="Q25" s="50"/>
      <c r="R25" s="50"/>
      <c r="S25" s="54"/>
      <c r="T25" s="50"/>
      <c r="U25" s="50"/>
      <c r="V25" s="50"/>
      <c r="W25" s="50"/>
      <c r="X25" s="50"/>
      <c r="Y25" s="50"/>
      <c r="Z25" s="54"/>
      <c r="AA25" s="50"/>
      <c r="AB25" s="50"/>
      <c r="AC25" s="50"/>
      <c r="AD25" s="50"/>
      <c r="AE25" s="50"/>
      <c r="AF25" s="54"/>
      <c r="AG25" s="54"/>
      <c r="AH25" s="54"/>
      <c r="AI25" s="50"/>
      <c r="AJ25" s="51"/>
      <c r="AL25" s="37"/>
      <c r="AM25" s="38">
        <f t="shared" si="0"/>
        <v>0</v>
      </c>
      <c r="AN25" s="39">
        <f t="shared" si="1"/>
        <v>0</v>
      </c>
      <c r="AO25" s="39">
        <f t="shared" si="2"/>
        <v>0</v>
      </c>
      <c r="AP25" s="39">
        <f t="shared" si="3"/>
        <v>0</v>
      </c>
      <c r="AQ25" s="40">
        <f t="shared" si="4"/>
        <v>0</v>
      </c>
      <c r="AR25" s="41">
        <f t="shared" si="12"/>
        <v>0</v>
      </c>
      <c r="AS25" s="42">
        <f t="shared" si="13"/>
        <v>0</v>
      </c>
      <c r="AT25" s="43">
        <f t="shared" si="14"/>
        <v>0</v>
      </c>
      <c r="AU25" s="44">
        <f t="shared" si="15"/>
        <v>0</v>
      </c>
      <c r="AV25" s="39">
        <f t="shared" si="5"/>
        <v>0</v>
      </c>
      <c r="AW25" s="39">
        <f t="shared" si="6"/>
        <v>0</v>
      </c>
      <c r="AX25" s="39">
        <f t="shared" si="7"/>
        <v>0</v>
      </c>
      <c r="AY25" s="39">
        <f t="shared" si="8"/>
        <v>0</v>
      </c>
      <c r="AZ25" s="45">
        <f t="shared" si="9"/>
        <v>0</v>
      </c>
      <c r="BA25" s="46">
        <f t="shared" si="10"/>
        <v>0</v>
      </c>
      <c r="BB25" s="47">
        <f t="shared" si="11"/>
        <v>0</v>
      </c>
      <c r="BC25" s="69"/>
    </row>
    <row r="26" spans="1:67" ht="27" customHeight="1" x14ac:dyDescent="0.3">
      <c r="A26" s="35">
        <v>20</v>
      </c>
      <c r="B26" s="48"/>
      <c r="C26" s="52"/>
      <c r="D26" s="53"/>
      <c r="E26" s="49"/>
      <c r="F26" s="54"/>
      <c r="G26" s="50"/>
      <c r="H26" s="50"/>
      <c r="I26" s="50"/>
      <c r="J26" s="54"/>
      <c r="K26" s="50"/>
      <c r="L26" s="54"/>
      <c r="M26" s="50"/>
      <c r="N26" s="50"/>
      <c r="O26" s="50"/>
      <c r="P26" s="50"/>
      <c r="Q26" s="50"/>
      <c r="R26" s="50"/>
      <c r="S26" s="54"/>
      <c r="T26" s="50"/>
      <c r="U26" s="50"/>
      <c r="V26" s="50"/>
      <c r="W26" s="50"/>
      <c r="X26" s="50"/>
      <c r="Y26" s="50"/>
      <c r="Z26" s="54"/>
      <c r="AA26" s="50"/>
      <c r="AB26" s="50"/>
      <c r="AC26" s="50"/>
      <c r="AD26" s="50"/>
      <c r="AE26" s="50"/>
      <c r="AF26" s="54"/>
      <c r="AG26" s="54"/>
      <c r="AH26" s="54"/>
      <c r="AI26" s="50"/>
      <c r="AJ26" s="51"/>
      <c r="AL26" s="37"/>
      <c r="AM26" s="38">
        <f t="shared" si="0"/>
        <v>0</v>
      </c>
      <c r="AN26" s="39">
        <f t="shared" si="1"/>
        <v>0</v>
      </c>
      <c r="AO26" s="39">
        <f t="shared" si="2"/>
        <v>0</v>
      </c>
      <c r="AP26" s="39">
        <f t="shared" si="3"/>
        <v>0</v>
      </c>
      <c r="AQ26" s="40">
        <f t="shared" si="4"/>
        <v>0</v>
      </c>
      <c r="AR26" s="41">
        <f t="shared" si="12"/>
        <v>0</v>
      </c>
      <c r="AS26" s="42">
        <f t="shared" si="13"/>
        <v>0</v>
      </c>
      <c r="AT26" s="43">
        <f t="shared" si="14"/>
        <v>0</v>
      </c>
      <c r="AU26" s="44">
        <f t="shared" si="15"/>
        <v>0</v>
      </c>
      <c r="AV26" s="39">
        <f t="shared" si="5"/>
        <v>0</v>
      </c>
      <c r="AW26" s="39">
        <f t="shared" si="6"/>
        <v>0</v>
      </c>
      <c r="AX26" s="39">
        <f t="shared" si="7"/>
        <v>0</v>
      </c>
      <c r="AY26" s="39">
        <f t="shared" si="8"/>
        <v>0</v>
      </c>
      <c r="AZ26" s="45">
        <f t="shared" si="9"/>
        <v>0</v>
      </c>
      <c r="BA26" s="46">
        <f t="shared" si="10"/>
        <v>0</v>
      </c>
      <c r="BB26" s="47">
        <f t="shared" si="11"/>
        <v>0</v>
      </c>
      <c r="BC26" s="69"/>
    </row>
    <row r="27" spans="1:67" ht="27" customHeight="1" x14ac:dyDescent="0.3">
      <c r="A27" s="35">
        <v>21</v>
      </c>
      <c r="B27" s="48"/>
      <c r="C27" s="52"/>
      <c r="D27" s="53"/>
      <c r="E27" s="49"/>
      <c r="F27" s="50"/>
      <c r="G27" s="50"/>
      <c r="H27" s="50"/>
      <c r="I27" s="50"/>
      <c r="J27" s="54"/>
      <c r="K27" s="50"/>
      <c r="L27" s="50"/>
      <c r="M27" s="50"/>
      <c r="N27" s="50"/>
      <c r="O27" s="50"/>
      <c r="P27" s="50"/>
      <c r="Q27" s="50"/>
      <c r="R27" s="50"/>
      <c r="S27" s="54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4"/>
      <c r="AG27" s="54"/>
      <c r="AH27" s="54"/>
      <c r="AI27" s="50"/>
      <c r="AJ27" s="51"/>
      <c r="AL27" s="37"/>
      <c r="AM27" s="38">
        <f t="shared" si="0"/>
        <v>0</v>
      </c>
      <c r="AN27" s="39">
        <f t="shared" si="1"/>
        <v>0</v>
      </c>
      <c r="AO27" s="39">
        <f t="shared" si="2"/>
        <v>0</v>
      </c>
      <c r="AP27" s="39">
        <f t="shared" si="3"/>
        <v>0</v>
      </c>
      <c r="AQ27" s="40">
        <f t="shared" si="4"/>
        <v>0</v>
      </c>
      <c r="AR27" s="41">
        <f t="shared" si="12"/>
        <v>0</v>
      </c>
      <c r="AS27" s="42">
        <f t="shared" si="13"/>
        <v>0</v>
      </c>
      <c r="AT27" s="43">
        <f t="shared" si="14"/>
        <v>0</v>
      </c>
      <c r="AU27" s="44">
        <f t="shared" si="15"/>
        <v>0</v>
      </c>
      <c r="AV27" s="39">
        <f t="shared" si="5"/>
        <v>0</v>
      </c>
      <c r="AW27" s="39">
        <f t="shared" si="6"/>
        <v>0</v>
      </c>
      <c r="AX27" s="39">
        <f t="shared" si="7"/>
        <v>0</v>
      </c>
      <c r="AY27" s="39">
        <f t="shared" si="8"/>
        <v>0</v>
      </c>
      <c r="AZ27" s="45">
        <f t="shared" si="9"/>
        <v>0</v>
      </c>
      <c r="BA27" s="46">
        <f t="shared" si="10"/>
        <v>0</v>
      </c>
      <c r="BB27" s="47">
        <f t="shared" si="11"/>
        <v>0</v>
      </c>
      <c r="BC27" s="69"/>
      <c r="BO27" s="3" t="s">
        <v>37</v>
      </c>
    </row>
    <row r="28" spans="1:67" ht="27" customHeight="1" x14ac:dyDescent="0.3">
      <c r="A28" s="35">
        <v>22</v>
      </c>
      <c r="B28" s="48"/>
      <c r="C28" s="52"/>
      <c r="D28" s="53"/>
      <c r="E28" s="49"/>
      <c r="F28" s="54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4"/>
      <c r="AI28" s="50"/>
      <c r="AJ28" s="51"/>
      <c r="AL28" s="37"/>
      <c r="AM28" s="38">
        <f t="shared" si="0"/>
        <v>0</v>
      </c>
      <c r="AN28" s="39">
        <f t="shared" si="1"/>
        <v>0</v>
      </c>
      <c r="AO28" s="39">
        <f t="shared" si="2"/>
        <v>0</v>
      </c>
      <c r="AP28" s="39">
        <f t="shared" si="3"/>
        <v>0</v>
      </c>
      <c r="AQ28" s="40">
        <f t="shared" si="4"/>
        <v>0</v>
      </c>
      <c r="AR28" s="41">
        <f t="shared" si="12"/>
        <v>0</v>
      </c>
      <c r="AS28" s="42">
        <f t="shared" si="13"/>
        <v>0</v>
      </c>
      <c r="AT28" s="43">
        <f t="shared" si="14"/>
        <v>0</v>
      </c>
      <c r="AU28" s="44">
        <f t="shared" si="15"/>
        <v>0</v>
      </c>
      <c r="AV28" s="39">
        <f t="shared" si="5"/>
        <v>0</v>
      </c>
      <c r="AW28" s="39">
        <f t="shared" si="6"/>
        <v>0</v>
      </c>
      <c r="AX28" s="39">
        <f t="shared" si="7"/>
        <v>0</v>
      </c>
      <c r="AY28" s="39">
        <f t="shared" si="8"/>
        <v>0</v>
      </c>
      <c r="AZ28" s="45">
        <f t="shared" si="9"/>
        <v>0</v>
      </c>
      <c r="BA28" s="46">
        <f t="shared" si="10"/>
        <v>0</v>
      </c>
      <c r="BB28" s="47">
        <f t="shared" si="11"/>
        <v>0</v>
      </c>
      <c r="BC28" s="69"/>
    </row>
    <row r="29" spans="1:67" ht="27" customHeight="1" x14ac:dyDescent="0.3">
      <c r="A29" s="35">
        <v>23</v>
      </c>
      <c r="B29" s="48"/>
      <c r="C29" s="52"/>
      <c r="D29" s="53"/>
      <c r="E29" s="49"/>
      <c r="F29" s="54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4"/>
      <c r="AI29" s="50"/>
      <c r="AJ29" s="51"/>
      <c r="AL29" s="37"/>
      <c r="AM29" s="38">
        <f t="shared" si="0"/>
        <v>0</v>
      </c>
      <c r="AN29" s="39">
        <f t="shared" si="1"/>
        <v>0</v>
      </c>
      <c r="AO29" s="39">
        <f t="shared" si="2"/>
        <v>0</v>
      </c>
      <c r="AP29" s="39">
        <f t="shared" si="3"/>
        <v>0</v>
      </c>
      <c r="AQ29" s="40">
        <f t="shared" si="4"/>
        <v>0</v>
      </c>
      <c r="AR29" s="41">
        <f t="shared" si="12"/>
        <v>0</v>
      </c>
      <c r="AS29" s="42">
        <f t="shared" si="13"/>
        <v>0</v>
      </c>
      <c r="AT29" s="43">
        <f t="shared" si="14"/>
        <v>0</v>
      </c>
      <c r="AU29" s="44">
        <f t="shared" si="15"/>
        <v>0</v>
      </c>
      <c r="AV29" s="39">
        <f t="shared" si="5"/>
        <v>0</v>
      </c>
      <c r="AW29" s="39">
        <f t="shared" si="6"/>
        <v>0</v>
      </c>
      <c r="AX29" s="39">
        <f t="shared" si="7"/>
        <v>0</v>
      </c>
      <c r="AY29" s="39">
        <f t="shared" si="8"/>
        <v>0</v>
      </c>
      <c r="AZ29" s="45">
        <f t="shared" si="9"/>
        <v>0</v>
      </c>
      <c r="BA29" s="46">
        <f t="shared" si="10"/>
        <v>0</v>
      </c>
      <c r="BB29" s="47">
        <f t="shared" si="11"/>
        <v>0</v>
      </c>
      <c r="BC29" s="69"/>
    </row>
    <row r="30" spans="1:67" ht="27" customHeight="1" x14ac:dyDescent="0.3">
      <c r="A30" s="35">
        <v>24</v>
      </c>
      <c r="B30" s="48"/>
      <c r="C30" s="52"/>
      <c r="D30" s="53"/>
      <c r="E30" s="49"/>
      <c r="F30" s="54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4"/>
      <c r="AI30" s="50"/>
      <c r="AJ30" s="51"/>
      <c r="AL30" s="37"/>
      <c r="AM30" s="38">
        <f t="shared" si="0"/>
        <v>0</v>
      </c>
      <c r="AN30" s="39">
        <f t="shared" si="1"/>
        <v>0</v>
      </c>
      <c r="AO30" s="39">
        <f t="shared" si="2"/>
        <v>0</v>
      </c>
      <c r="AP30" s="39">
        <f t="shared" si="3"/>
        <v>0</v>
      </c>
      <c r="AQ30" s="40">
        <f t="shared" si="4"/>
        <v>0</v>
      </c>
      <c r="AR30" s="41">
        <f t="shared" si="12"/>
        <v>0</v>
      </c>
      <c r="AS30" s="42">
        <f t="shared" si="13"/>
        <v>0</v>
      </c>
      <c r="AT30" s="43">
        <f t="shared" si="14"/>
        <v>0</v>
      </c>
      <c r="AU30" s="44">
        <f t="shared" si="15"/>
        <v>0</v>
      </c>
      <c r="AV30" s="39">
        <f t="shared" si="5"/>
        <v>0</v>
      </c>
      <c r="AW30" s="39">
        <f t="shared" si="6"/>
        <v>0</v>
      </c>
      <c r="AX30" s="39">
        <f t="shared" si="7"/>
        <v>0</v>
      </c>
      <c r="AY30" s="39">
        <f t="shared" si="8"/>
        <v>0</v>
      </c>
      <c r="AZ30" s="45">
        <f t="shared" si="9"/>
        <v>0</v>
      </c>
      <c r="BA30" s="46">
        <f t="shared" si="10"/>
        <v>0</v>
      </c>
      <c r="BB30" s="47">
        <f t="shared" si="11"/>
        <v>0</v>
      </c>
      <c r="BC30" s="69"/>
    </row>
    <row r="31" spans="1:67" ht="27" customHeight="1" x14ac:dyDescent="0.3">
      <c r="A31" s="35">
        <v>25</v>
      </c>
      <c r="B31" s="48"/>
      <c r="C31" s="52"/>
      <c r="D31" s="53"/>
      <c r="E31" s="49"/>
      <c r="F31" s="54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4"/>
      <c r="AI31" s="50"/>
      <c r="AJ31" s="51"/>
      <c r="AL31" s="37"/>
      <c r="AM31" s="38">
        <f t="shared" si="0"/>
        <v>0</v>
      </c>
      <c r="AN31" s="39">
        <f t="shared" si="1"/>
        <v>0</v>
      </c>
      <c r="AO31" s="39">
        <f t="shared" si="2"/>
        <v>0</v>
      </c>
      <c r="AP31" s="39">
        <f t="shared" si="3"/>
        <v>0</v>
      </c>
      <c r="AQ31" s="40">
        <f t="shared" si="4"/>
        <v>0</v>
      </c>
      <c r="AR31" s="41">
        <f t="shared" si="12"/>
        <v>0</v>
      </c>
      <c r="AS31" s="42">
        <f t="shared" si="13"/>
        <v>0</v>
      </c>
      <c r="AT31" s="43">
        <f t="shared" si="14"/>
        <v>0</v>
      </c>
      <c r="AU31" s="44">
        <f t="shared" si="15"/>
        <v>0</v>
      </c>
      <c r="AV31" s="39">
        <f t="shared" si="5"/>
        <v>0</v>
      </c>
      <c r="AW31" s="39">
        <f t="shared" si="6"/>
        <v>0</v>
      </c>
      <c r="AX31" s="39">
        <f t="shared" si="7"/>
        <v>0</v>
      </c>
      <c r="AY31" s="39">
        <f t="shared" si="8"/>
        <v>0</v>
      </c>
      <c r="AZ31" s="45">
        <f t="shared" si="9"/>
        <v>0</v>
      </c>
      <c r="BA31" s="46">
        <f t="shared" si="10"/>
        <v>0</v>
      </c>
      <c r="BB31" s="47">
        <f t="shared" si="11"/>
        <v>0</v>
      </c>
      <c r="BC31" s="69"/>
    </row>
    <row r="32" spans="1:67" ht="27" customHeight="1" x14ac:dyDescent="0.3">
      <c r="A32" s="35">
        <v>26</v>
      </c>
      <c r="B32" s="48"/>
      <c r="C32" s="52"/>
      <c r="D32" s="53"/>
      <c r="E32" s="49"/>
      <c r="F32" s="54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4"/>
      <c r="AI32" s="50"/>
      <c r="AJ32" s="51"/>
      <c r="AL32" s="37"/>
      <c r="AM32" s="38">
        <f t="shared" si="0"/>
        <v>0</v>
      </c>
      <c r="AN32" s="39">
        <f t="shared" si="1"/>
        <v>0</v>
      </c>
      <c r="AO32" s="39">
        <f t="shared" si="2"/>
        <v>0</v>
      </c>
      <c r="AP32" s="39">
        <f t="shared" si="3"/>
        <v>0</v>
      </c>
      <c r="AQ32" s="40">
        <f t="shared" si="4"/>
        <v>0</v>
      </c>
      <c r="AR32" s="41">
        <f t="shared" si="12"/>
        <v>0</v>
      </c>
      <c r="AS32" s="42">
        <f t="shared" si="13"/>
        <v>0</v>
      </c>
      <c r="AT32" s="43">
        <f t="shared" si="14"/>
        <v>0</v>
      </c>
      <c r="AU32" s="44">
        <f t="shared" si="15"/>
        <v>0</v>
      </c>
      <c r="AV32" s="39">
        <f t="shared" si="5"/>
        <v>0</v>
      </c>
      <c r="AW32" s="39">
        <f t="shared" si="6"/>
        <v>0</v>
      </c>
      <c r="AX32" s="39">
        <f t="shared" si="7"/>
        <v>0</v>
      </c>
      <c r="AY32" s="39">
        <f t="shared" si="8"/>
        <v>0</v>
      </c>
      <c r="AZ32" s="45">
        <f t="shared" si="9"/>
        <v>0</v>
      </c>
      <c r="BA32" s="46">
        <f t="shared" si="10"/>
        <v>0</v>
      </c>
      <c r="BB32" s="47">
        <f t="shared" si="11"/>
        <v>0</v>
      </c>
      <c r="BC32" s="69"/>
    </row>
    <row r="33" spans="1:55" ht="27" customHeight="1" x14ac:dyDescent="0.3">
      <c r="A33" s="35">
        <v>27</v>
      </c>
      <c r="B33" s="48"/>
      <c r="C33" s="52"/>
      <c r="D33" s="53"/>
      <c r="E33" s="49"/>
      <c r="F33" s="54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1"/>
      <c r="AL33" s="37"/>
      <c r="AM33" s="38">
        <f t="shared" si="0"/>
        <v>0</v>
      </c>
      <c r="AN33" s="39">
        <f t="shared" si="1"/>
        <v>0</v>
      </c>
      <c r="AO33" s="39">
        <f t="shared" si="2"/>
        <v>0</v>
      </c>
      <c r="AP33" s="39">
        <f t="shared" si="3"/>
        <v>0</v>
      </c>
      <c r="AQ33" s="40">
        <f t="shared" si="4"/>
        <v>0</v>
      </c>
      <c r="AR33" s="41">
        <f t="shared" si="12"/>
        <v>0</v>
      </c>
      <c r="AS33" s="42">
        <f t="shared" si="13"/>
        <v>0</v>
      </c>
      <c r="AT33" s="43">
        <f t="shared" si="14"/>
        <v>0</v>
      </c>
      <c r="AU33" s="44">
        <f t="shared" si="15"/>
        <v>0</v>
      </c>
      <c r="AV33" s="39">
        <f t="shared" si="5"/>
        <v>0</v>
      </c>
      <c r="AW33" s="39">
        <f t="shared" si="6"/>
        <v>0</v>
      </c>
      <c r="AX33" s="39">
        <f t="shared" si="7"/>
        <v>0</v>
      </c>
      <c r="AY33" s="39">
        <f t="shared" si="8"/>
        <v>0</v>
      </c>
      <c r="AZ33" s="45">
        <f t="shared" si="9"/>
        <v>0</v>
      </c>
      <c r="BA33" s="46">
        <f t="shared" si="10"/>
        <v>0</v>
      </c>
      <c r="BB33" s="47">
        <f t="shared" si="11"/>
        <v>0</v>
      </c>
      <c r="BC33" s="69"/>
    </row>
    <row r="34" spans="1:55" ht="27" customHeight="1" x14ac:dyDescent="0.3">
      <c r="A34" s="35">
        <v>28</v>
      </c>
      <c r="B34" s="48"/>
      <c r="C34" s="52"/>
      <c r="D34" s="53"/>
      <c r="E34" s="49"/>
      <c r="F34" s="54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1"/>
      <c r="AL34" s="37"/>
      <c r="AM34" s="38">
        <f t="shared" si="0"/>
        <v>0</v>
      </c>
      <c r="AN34" s="39">
        <f t="shared" si="1"/>
        <v>0</v>
      </c>
      <c r="AO34" s="39">
        <f t="shared" si="2"/>
        <v>0</v>
      </c>
      <c r="AP34" s="39">
        <f t="shared" si="3"/>
        <v>0</v>
      </c>
      <c r="AQ34" s="40">
        <f t="shared" si="4"/>
        <v>0</v>
      </c>
      <c r="AR34" s="41">
        <f t="shared" si="12"/>
        <v>0</v>
      </c>
      <c r="AS34" s="42">
        <f t="shared" si="13"/>
        <v>0</v>
      </c>
      <c r="AT34" s="43">
        <f t="shared" si="14"/>
        <v>0</v>
      </c>
      <c r="AU34" s="44">
        <f t="shared" si="15"/>
        <v>0</v>
      </c>
      <c r="AV34" s="39">
        <f t="shared" si="5"/>
        <v>0</v>
      </c>
      <c r="AW34" s="39">
        <f t="shared" si="6"/>
        <v>0</v>
      </c>
      <c r="AX34" s="39">
        <f t="shared" si="7"/>
        <v>0</v>
      </c>
      <c r="AY34" s="39">
        <f t="shared" si="8"/>
        <v>0</v>
      </c>
      <c r="AZ34" s="45">
        <f t="shared" si="9"/>
        <v>0</v>
      </c>
      <c r="BA34" s="46">
        <f t="shared" si="10"/>
        <v>0</v>
      </c>
      <c r="BB34" s="47">
        <f t="shared" si="11"/>
        <v>0</v>
      </c>
      <c r="BC34" s="69"/>
    </row>
    <row r="35" spans="1:55" ht="27" customHeight="1" x14ac:dyDescent="0.3">
      <c r="A35" s="35">
        <v>29</v>
      </c>
      <c r="B35" s="60"/>
      <c r="C35" s="61"/>
      <c r="D35" s="62"/>
      <c r="E35" s="63"/>
      <c r="F35" s="64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6"/>
      <c r="AL35" s="37"/>
      <c r="AM35" s="38">
        <f t="shared" si="0"/>
        <v>0</v>
      </c>
      <c r="AN35" s="39">
        <f t="shared" si="1"/>
        <v>0</v>
      </c>
      <c r="AO35" s="39">
        <f t="shared" si="2"/>
        <v>0</v>
      </c>
      <c r="AP35" s="39">
        <f t="shared" si="3"/>
        <v>0</v>
      </c>
      <c r="AQ35" s="40">
        <f t="shared" si="4"/>
        <v>0</v>
      </c>
      <c r="AR35" s="41">
        <f t="shared" si="12"/>
        <v>0</v>
      </c>
      <c r="AS35" s="42">
        <f t="shared" si="13"/>
        <v>0</v>
      </c>
      <c r="AT35" s="43">
        <f t="shared" si="14"/>
        <v>0</v>
      </c>
      <c r="AU35" s="44">
        <f t="shared" si="15"/>
        <v>0</v>
      </c>
      <c r="AV35" s="39">
        <f t="shared" si="5"/>
        <v>0</v>
      </c>
      <c r="AW35" s="39">
        <f t="shared" si="6"/>
        <v>0</v>
      </c>
      <c r="AX35" s="39">
        <f t="shared" si="7"/>
        <v>0</v>
      </c>
      <c r="AY35" s="39">
        <f t="shared" si="8"/>
        <v>0</v>
      </c>
      <c r="AZ35" s="45">
        <f t="shared" si="9"/>
        <v>0</v>
      </c>
      <c r="BA35" s="46">
        <f t="shared" si="10"/>
        <v>0</v>
      </c>
      <c r="BB35" s="47">
        <f t="shared" si="11"/>
        <v>0</v>
      </c>
      <c r="BC35" s="69"/>
    </row>
    <row r="36" spans="1:55" x14ac:dyDescent="0.3">
      <c r="BC36" s="69"/>
    </row>
    <row r="37" spans="1:55" x14ac:dyDescent="0.3">
      <c r="BC37" s="69"/>
    </row>
    <row r="38" spans="1:55" ht="15" thickBot="1" x14ac:dyDescent="0.35">
      <c r="BC38" s="70"/>
    </row>
    <row r="50" spans="56:69" ht="13.5" customHeight="1" x14ac:dyDescent="0.3"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</row>
    <row r="51" spans="56:69" ht="13.5" customHeight="1" x14ac:dyDescent="0.3"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 spans="56:69" ht="13.5" customHeight="1" x14ac:dyDescent="0.3"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 spans="56:69" ht="13.5" customHeight="1" x14ac:dyDescent="0.3"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 spans="56:69" ht="13.5" customHeight="1" x14ac:dyDescent="0.3"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</row>
  </sheetData>
  <mergeCells count="23">
    <mergeCell ref="A2:L2"/>
    <mergeCell ref="A3:B3"/>
    <mergeCell ref="C3:E3"/>
    <mergeCell ref="F3:G3"/>
    <mergeCell ref="I3:J3"/>
    <mergeCell ref="K3:L3"/>
    <mergeCell ref="N3:O3"/>
    <mergeCell ref="P3:Q3"/>
    <mergeCell ref="AD3:BA3"/>
    <mergeCell ref="A5:E5"/>
    <mergeCell ref="F5:G5"/>
    <mergeCell ref="H5:L5"/>
    <mergeCell ref="M5:N5"/>
    <mergeCell ref="O5:S5"/>
    <mergeCell ref="T5:U5"/>
    <mergeCell ref="V5:Z5"/>
    <mergeCell ref="BO50:BQ54"/>
    <mergeCell ref="AA5:AB5"/>
    <mergeCell ref="AC5:AG5"/>
    <mergeCell ref="BD50:BE54"/>
    <mergeCell ref="BF50:BH54"/>
    <mergeCell ref="BI50:BK54"/>
    <mergeCell ref="BL50:BN54"/>
  </mergeCells>
  <phoneticPr fontId="3" type="noConversion"/>
  <conditionalFormatting sqref="F9:G13">
    <cfRule type="expression" dxfId="26" priority="66">
      <formula>AND($C9&gt;0,F9="")</formula>
    </cfRule>
  </conditionalFormatting>
  <conditionalFormatting sqref="F13:N13">
    <cfRule type="expression" dxfId="25" priority="117">
      <formula>AND($C13&gt;0,F13="")</formula>
    </cfRule>
  </conditionalFormatting>
  <conditionalFormatting sqref="F8:AA8">
    <cfRule type="expression" dxfId="24" priority="6">
      <formula>AND($C8&gt;0,F8="")</formula>
    </cfRule>
  </conditionalFormatting>
  <conditionalFormatting sqref="F14:AI15">
    <cfRule type="expression" dxfId="23" priority="432">
      <formula>AND($C14&gt;0,F14="")</formula>
    </cfRule>
  </conditionalFormatting>
  <conditionalFormatting sqref="H9:I12">
    <cfRule type="expression" dxfId="22" priority="16">
      <formula>AND($C9&gt;0,H9="")</formula>
    </cfRule>
  </conditionalFormatting>
  <conditionalFormatting sqref="I11:K11">
    <cfRule type="expression" dxfId="21" priority="200">
      <formula>AND($C11&gt;0,I11="")</formula>
    </cfRule>
  </conditionalFormatting>
  <conditionalFormatting sqref="J9:Q13">
    <cfRule type="expression" dxfId="20" priority="33">
      <formula>AND($C9&gt;0,J9="")</formula>
    </cfRule>
  </conditionalFormatting>
  <conditionalFormatting sqref="L10:N11">
    <cfRule type="expression" dxfId="19" priority="93">
      <formula>AND($C10&gt;0,L10="")</formula>
    </cfRule>
  </conditionalFormatting>
  <conditionalFormatting sqref="Q12:U13">
    <cfRule type="expression" dxfId="18" priority="45">
      <formula>AND($C12&gt;0,Q12="")</formula>
    </cfRule>
  </conditionalFormatting>
  <conditionalFormatting sqref="R9:R12">
    <cfRule type="expression" dxfId="17" priority="32">
      <formula>AND($C9&gt;0,R9="")</formula>
    </cfRule>
  </conditionalFormatting>
  <conditionalFormatting sqref="R13:S13">
    <cfRule type="expression" dxfId="16" priority="387">
      <formula>AND($C13&gt;0,R13="")</formula>
    </cfRule>
  </conditionalFormatting>
  <conditionalFormatting sqref="S10:S12">
    <cfRule type="expression" dxfId="15" priority="60">
      <formula>AND($C10&gt;0,S10="")</formula>
    </cfRule>
  </conditionalFormatting>
  <conditionalFormatting sqref="S11:T11">
    <cfRule type="expression" dxfId="14" priority="196">
      <formula>AND($C11&gt;0,S11="")</formula>
    </cfRule>
  </conditionalFormatting>
  <conditionalFormatting sqref="S9:U10">
    <cfRule type="expression" dxfId="13" priority="103">
      <formula>AND($C9&gt;0,S9="")</formula>
    </cfRule>
  </conditionalFormatting>
  <conditionalFormatting sqref="T10:U11">
    <cfRule type="expression" dxfId="12" priority="90">
      <formula>AND($C10&gt;0,T10="")</formula>
    </cfRule>
  </conditionalFormatting>
  <conditionalFormatting sqref="U11:U13">
    <cfRule type="expression" dxfId="11" priority="58">
      <formula>AND($C11&gt;0,U11="")</formula>
    </cfRule>
  </conditionalFormatting>
  <conditionalFormatting sqref="V9:W13">
    <cfRule type="expression" dxfId="10" priority="28">
      <formula>AND($C9&gt;0,V9="")</formula>
    </cfRule>
  </conditionalFormatting>
  <conditionalFormatting sqref="X10:X13">
    <cfRule type="expression" dxfId="9" priority="34">
      <formula>AND($C10&gt;0,X10="")</formula>
    </cfRule>
  </conditionalFormatting>
  <conditionalFormatting sqref="X9:AA10">
    <cfRule type="expression" dxfId="8" priority="101">
      <formula>AND($C9&gt;0,X9="")</formula>
    </cfRule>
  </conditionalFormatting>
  <conditionalFormatting sqref="X12:AB13">
    <cfRule type="expression" dxfId="7" priority="27">
      <formula>AND($C12&gt;0,X12="")</formula>
    </cfRule>
  </conditionalFormatting>
  <conditionalFormatting sqref="Y11:Y13">
    <cfRule type="expression" dxfId="6" priority="31">
      <formula>AND($C11&gt;0,Y11="")</formula>
    </cfRule>
  </conditionalFormatting>
  <conditionalFormatting sqref="Y10:AB11">
    <cfRule type="expression" dxfId="5" priority="87">
      <formula>AND($C10&gt;0,Y10="")</formula>
    </cfRule>
  </conditionalFormatting>
  <conditionalFormatting sqref="Z11:AA11">
    <cfRule type="expression" dxfId="4" priority="193">
      <formula>AND($C11&gt;0,Z11="")</formula>
    </cfRule>
  </conditionalFormatting>
  <conditionalFormatting sqref="AB8:AI13">
    <cfRule type="expression" dxfId="3" priority="1">
      <formula>AND($C8&gt;0,AB8="")</formula>
    </cfRule>
  </conditionalFormatting>
  <conditionalFormatting sqref="AE12:AH12">
    <cfRule type="expression" dxfId="2" priority="51">
      <formula>AND($C12&gt;0,AE12="")</formula>
    </cfRule>
  </conditionalFormatting>
  <conditionalFormatting sqref="AJ8:AJ14">
    <cfRule type="expression" dxfId="1" priority="13">
      <formula>AND($C8&gt;0,AJ8="")</formula>
    </cfRule>
  </conditionalFormatting>
  <conditionalFormatting sqref="BB8:BB35">
    <cfRule type="cellIs" dxfId="0" priority="977" operator="notEqual">
      <formula>$K$3</formula>
    </cfRule>
  </conditionalFormatting>
  <pageMargins left="0.11811023622047245" right="0.11811023622047245" top="0.35433070866141736" bottom="0.35433070866141736" header="0.31496062992125984" footer="0.31496062992125984"/>
  <pageSetup paperSize="9" scale="4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6월 취합 (야간근무+연장)</vt:lpstr>
      <vt:lpstr>12월 취합 (야간근무+연장)</vt:lpstr>
      <vt:lpstr>'12월 취합 (야간근무+연장)'!Print_Area</vt:lpstr>
      <vt:lpstr>'6월 취합 (야간근무+연장)'!Print_Area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seegene</dc:creator>
  <cp:lastModifiedBy>예진 이</cp:lastModifiedBy>
  <cp:lastPrinted>2026-02-02T15:07:53Z</cp:lastPrinted>
  <dcterms:created xsi:type="dcterms:W3CDTF">2023-06-30T03:13:34Z</dcterms:created>
  <dcterms:modified xsi:type="dcterms:W3CDTF">2026-04-02T11:18:35Z</dcterms:modified>
</cp:coreProperties>
</file>